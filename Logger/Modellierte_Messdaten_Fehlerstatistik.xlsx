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C3B469A0-9E61-428A-8816-8B08B8E249DA}" xr6:coauthVersionLast="47" xr6:coauthVersionMax="47" xr10:uidLastSave="{00000000-0000-0000-0000-000000000000}"/>
  <bookViews>
    <workbookView xWindow="-120" yWindow="-120" windowWidth="30960" windowHeight="18720" xr2:uid="{BC26F3C7-EBF5-411F-BEBA-61067CF8A2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F13" i="1"/>
  <c r="H6" i="1"/>
  <c r="H7" i="1"/>
  <c r="H8" i="1"/>
  <c r="H9" i="1"/>
  <c r="H10" i="1"/>
  <c r="H11" i="1"/>
  <c r="H12" i="1"/>
  <c r="H14" i="1"/>
  <c r="H15" i="1"/>
  <c r="H16" i="1"/>
  <c r="H17" i="1"/>
  <c r="H5" i="1"/>
  <c r="F6" i="1"/>
  <c r="F7" i="1"/>
  <c r="F8" i="1"/>
  <c r="F9" i="1"/>
  <c r="F10" i="1"/>
  <c r="F11" i="1"/>
  <c r="F12" i="1"/>
  <c r="F14" i="1"/>
  <c r="F15" i="1"/>
  <c r="F16" i="1"/>
  <c r="F17" i="1"/>
  <c r="F5" i="1"/>
</calcChain>
</file>

<file path=xl/sharedStrings.xml><?xml version="1.0" encoding="utf-8"?>
<sst xmlns="http://schemas.openxmlformats.org/spreadsheetml/2006/main" count="43" uniqueCount="34">
  <si>
    <t>Meusebach trocken</t>
  </si>
  <si>
    <t>Meusebach nass</t>
  </si>
  <si>
    <t>Standort</t>
  </si>
  <si>
    <t>Logger</t>
  </si>
  <si>
    <t>West</t>
  </si>
  <si>
    <t>Mitte</t>
  </si>
  <si>
    <t>RMSE</t>
  </si>
  <si>
    <t>Temp_Sonne_C</t>
  </si>
  <si>
    <t>Licht_lux</t>
  </si>
  <si>
    <t>Temp_schatten_C</t>
  </si>
  <si>
    <t>RelLF_percent</t>
  </si>
  <si>
    <t xml:space="preserve">Taupunkt </t>
  </si>
  <si>
    <t>Messgrößen</t>
  </si>
  <si>
    <t>Abweichung der mittels des Modells erzeugten Werte von Originalen</t>
  </si>
  <si>
    <t>Spannweite</t>
  </si>
  <si>
    <t>Standardabweichung</t>
  </si>
  <si>
    <t>Größe des Fehlers im Verhältnis zur Variabilität der Daten</t>
  </si>
  <si>
    <t>Fehler beträgt x % der gesamten Spannweite der Daten</t>
  </si>
  <si>
    <t xml:space="preserve">Fehler relativ zur typischen Streuung der Daten </t>
  </si>
  <si>
    <t>=wie stark das Model im Durchschnitt vom Mittelwert abweicht, imVerhältnis zur normalen Variabilität der Messwerte</t>
  </si>
  <si>
    <t>Modellfehler ist im Mittel ca. x % der Daten</t>
  </si>
  <si>
    <t xml:space="preserve">  </t>
  </si>
  <si>
    <t>1,27 °C</t>
  </si>
  <si>
    <t>0,44 °C</t>
  </si>
  <si>
    <t>0,21 °C</t>
  </si>
  <si>
    <t>0,50 °C</t>
  </si>
  <si>
    <t>0,53 °C</t>
  </si>
  <si>
    <t>0,25 °C</t>
  </si>
  <si>
    <t>0,33 °C</t>
  </si>
  <si>
    <t>NRMSE berechnet mittels …</t>
  </si>
  <si>
    <t>3290 lux</t>
  </si>
  <si>
    <t>2331 lux</t>
  </si>
  <si>
    <t>nochmal nacharbeiten</t>
  </si>
  <si>
    <t>1,13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</si>
</sst>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10" fontId="0" fillId="0" borderId="4" xfId="0" applyNumberFormat="1" applyBorder="1" applyAlignment="1">
      <alignment horizontal="left"/>
    </xf>
    <xf numFmtId="10" fontId="0" fillId="0" borderId="2" xfId="0" applyNumberFormat="1" applyBorder="1" applyAlignment="1">
      <alignment horizontal="left"/>
    </xf>
    <xf numFmtId="10" fontId="0" fillId="0" borderId="5" xfId="0" applyNumberFormat="1" applyBorder="1" applyAlignment="1">
      <alignment horizontal="left"/>
    </xf>
    <xf numFmtId="10" fontId="0" fillId="0" borderId="3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0" fontId="0" fillId="0" borderId="26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10" fontId="0" fillId="3" borderId="26" xfId="0" applyNumberFormat="1" applyFill="1" applyBorder="1" applyAlignment="1">
      <alignment horizontal="left"/>
    </xf>
    <xf numFmtId="10" fontId="0" fillId="3" borderId="6" xfId="0" applyNumberFormat="1" applyFill="1" applyBorder="1" applyAlignment="1">
      <alignment horizontal="left"/>
    </xf>
    <xf numFmtId="0" fontId="1" fillId="0" borderId="9" xfId="0" applyFont="1" applyBorder="1"/>
    <xf numFmtId="0" fontId="1" fillId="0" borderId="31" xfId="0" applyFont="1" applyBorder="1"/>
    <xf numFmtId="0" fontId="0" fillId="0" borderId="24" xfId="0" applyBorder="1" applyAlignment="1">
      <alignment horizontal="left"/>
    </xf>
    <xf numFmtId="10" fontId="0" fillId="0" borderId="25" xfId="0" applyNumberForma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8" xfId="0" applyBorder="1" applyAlignment="1">
      <alignment horizontal="left"/>
    </xf>
    <xf numFmtId="10" fontId="0" fillId="0" borderId="29" xfId="0" applyNumberFormat="1" applyBorder="1" applyAlignment="1">
      <alignment horizontal="left"/>
    </xf>
    <xf numFmtId="10" fontId="0" fillId="0" borderId="28" xfId="0" applyNumberFormat="1" applyBorder="1" applyAlignment="1">
      <alignment horizontal="left"/>
    </xf>
    <xf numFmtId="10" fontId="0" fillId="2" borderId="6" xfId="0" applyNumberFormat="1" applyFill="1" applyBorder="1" applyAlignment="1">
      <alignment horizontal="left"/>
    </xf>
    <xf numFmtId="10" fontId="0" fillId="2" borderId="5" xfId="0" applyNumberFormat="1" applyFill="1" applyBorder="1" applyAlignment="1">
      <alignment horizontal="left"/>
    </xf>
    <xf numFmtId="10" fontId="0" fillId="0" borderId="6" xfId="0" applyNumberFormat="1" applyBorder="1" applyAlignment="1">
      <alignment horizontal="left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0" fontId="0" fillId="3" borderId="3" xfId="0" applyNumberForma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0E69-590E-4194-8C85-EDC798F433E8}">
  <dimension ref="A1:I19"/>
  <sheetViews>
    <sheetView tabSelected="1" workbookViewId="0">
      <selection activeCell="J10" sqref="J10"/>
    </sheetView>
  </sheetViews>
  <sheetFormatPr baseColWidth="10" defaultRowHeight="15" x14ac:dyDescent="0.25"/>
  <cols>
    <col min="3" max="4" width="17.5703125" customWidth="1"/>
    <col min="5" max="8" width="13.42578125" customWidth="1"/>
  </cols>
  <sheetData>
    <row r="1" spans="1:9" ht="15.75" x14ac:dyDescent="0.25">
      <c r="A1" s="1" t="s">
        <v>21</v>
      </c>
    </row>
    <row r="2" spans="1:9" ht="16.5" thickBot="1" x14ac:dyDescent="0.3">
      <c r="A2" s="1"/>
    </row>
    <row r="3" spans="1:9" ht="15.75" thickBot="1" x14ac:dyDescent="0.3">
      <c r="A3" s="44" t="s">
        <v>2</v>
      </c>
      <c r="B3" s="44" t="s">
        <v>3</v>
      </c>
      <c r="C3" s="44" t="s">
        <v>12</v>
      </c>
      <c r="D3" s="44" t="s">
        <v>6</v>
      </c>
      <c r="E3" s="46" t="s">
        <v>29</v>
      </c>
      <c r="F3" s="47"/>
      <c r="G3" s="47"/>
      <c r="H3" s="48"/>
    </row>
    <row r="4" spans="1:9" ht="15.75" thickBot="1" x14ac:dyDescent="0.3">
      <c r="A4" s="45"/>
      <c r="B4" s="45"/>
      <c r="C4" s="45"/>
      <c r="D4" s="45"/>
      <c r="E4" s="49" t="s">
        <v>14</v>
      </c>
      <c r="F4" s="49"/>
      <c r="G4" s="24" t="s">
        <v>15</v>
      </c>
      <c r="H4" s="25"/>
    </row>
    <row r="5" spans="1:9" x14ac:dyDescent="0.25">
      <c r="A5" s="36" t="s">
        <v>0</v>
      </c>
      <c r="B5" s="39" t="s">
        <v>4</v>
      </c>
      <c r="C5" s="16" t="s">
        <v>9</v>
      </c>
      <c r="D5" s="26" t="s">
        <v>25</v>
      </c>
      <c r="E5" s="5">
        <v>1.6E-2</v>
      </c>
      <c r="F5" s="8">
        <f>E5</f>
        <v>1.6E-2</v>
      </c>
      <c r="G5" s="11">
        <v>9.6000000000000002E-2</v>
      </c>
      <c r="H5" s="35">
        <f>G5</f>
        <v>9.6000000000000002E-2</v>
      </c>
    </row>
    <row r="6" spans="1:9" x14ac:dyDescent="0.25">
      <c r="A6" s="37"/>
      <c r="B6" s="40"/>
      <c r="C6" s="17" t="s">
        <v>10</v>
      </c>
      <c r="D6" s="27">
        <v>2.5899999999999999E-2</v>
      </c>
      <c r="E6" s="21">
        <v>3.7999999999999999E-2</v>
      </c>
      <c r="F6" s="6">
        <f t="shared" ref="F6:F17" si="0">E6</f>
        <v>3.7999999999999999E-2</v>
      </c>
      <c r="G6" s="12">
        <v>0.161</v>
      </c>
      <c r="H6" s="22">
        <f>G6</f>
        <v>0.161</v>
      </c>
    </row>
    <row r="7" spans="1:9" ht="15.75" thickBot="1" x14ac:dyDescent="0.3">
      <c r="A7" s="37"/>
      <c r="B7" s="41"/>
      <c r="C7" s="18" t="s">
        <v>11</v>
      </c>
      <c r="D7" s="28" t="s">
        <v>26</v>
      </c>
      <c r="E7" s="4">
        <v>2.4E-2</v>
      </c>
      <c r="F7" s="7">
        <f t="shared" si="0"/>
        <v>2.4E-2</v>
      </c>
      <c r="G7" s="13">
        <v>0.13</v>
      </c>
      <c r="H7" s="34">
        <f t="shared" ref="H7:H17" si="1">G7</f>
        <v>0.13</v>
      </c>
    </row>
    <row r="8" spans="1:9" x14ac:dyDescent="0.25">
      <c r="A8" s="37"/>
      <c r="B8" s="42" t="s">
        <v>5</v>
      </c>
      <c r="C8" s="19" t="s">
        <v>7</v>
      </c>
      <c r="D8" s="29" t="s">
        <v>22</v>
      </c>
      <c r="E8" s="5">
        <v>2.1999999999999999E-2</v>
      </c>
      <c r="F8" s="8">
        <f t="shared" si="0"/>
        <v>2.1999999999999999E-2</v>
      </c>
      <c r="G8" s="14">
        <v>0.11899999999999999</v>
      </c>
      <c r="H8" s="33">
        <f t="shared" si="1"/>
        <v>0.11899999999999999</v>
      </c>
    </row>
    <row r="9" spans="1:9" x14ac:dyDescent="0.25">
      <c r="A9" s="37"/>
      <c r="B9" s="42"/>
      <c r="C9" s="17" t="s">
        <v>8</v>
      </c>
      <c r="D9" s="30" t="s">
        <v>30</v>
      </c>
      <c r="E9" s="2">
        <v>3.3000000000000002E-2</v>
      </c>
      <c r="F9" s="6">
        <f t="shared" si="0"/>
        <v>3.3000000000000002E-2</v>
      </c>
      <c r="G9" s="15">
        <v>0.17499999999999999</v>
      </c>
      <c r="H9" s="50">
        <f t="shared" si="1"/>
        <v>0.17499999999999999</v>
      </c>
    </row>
    <row r="10" spans="1:9" x14ac:dyDescent="0.25">
      <c r="A10" s="37"/>
      <c r="B10" s="42"/>
      <c r="C10" s="17" t="s">
        <v>9</v>
      </c>
      <c r="D10" s="30" t="s">
        <v>24</v>
      </c>
      <c r="E10" s="2">
        <v>6.0000000000000001E-3</v>
      </c>
      <c r="F10" s="6">
        <f t="shared" si="0"/>
        <v>6.0000000000000001E-3</v>
      </c>
      <c r="G10" s="15">
        <v>3.5999999999999997E-2</v>
      </c>
      <c r="H10" s="10">
        <f t="shared" si="1"/>
        <v>3.5999999999999997E-2</v>
      </c>
    </row>
    <row r="11" spans="1:9" x14ac:dyDescent="0.25">
      <c r="A11" s="37"/>
      <c r="B11" s="42"/>
      <c r="C11" s="17" t="s">
        <v>10</v>
      </c>
      <c r="D11" s="31">
        <v>1.7299999999999999E-2</v>
      </c>
      <c r="E11" s="2">
        <v>2.1999999999999999E-2</v>
      </c>
      <c r="F11" s="6">
        <f t="shared" si="0"/>
        <v>2.1999999999999999E-2</v>
      </c>
      <c r="G11" s="15">
        <v>9.4E-2</v>
      </c>
      <c r="H11" s="20">
        <f t="shared" si="1"/>
        <v>9.4E-2</v>
      </c>
    </row>
    <row r="12" spans="1:9" ht="15.75" thickBot="1" x14ac:dyDescent="0.3">
      <c r="A12" s="38"/>
      <c r="B12" s="43"/>
      <c r="C12" s="18" t="s">
        <v>11</v>
      </c>
      <c r="D12" s="28" t="s">
        <v>23</v>
      </c>
      <c r="E12" s="4">
        <v>1.7999999999999999E-2</v>
      </c>
      <c r="F12" s="7">
        <f t="shared" si="0"/>
        <v>1.7999999999999999E-2</v>
      </c>
      <c r="G12" s="13">
        <v>0.13100000000000001</v>
      </c>
      <c r="H12" s="34">
        <f t="shared" si="1"/>
        <v>0.13100000000000001</v>
      </c>
    </row>
    <row r="13" spans="1:9" x14ac:dyDescent="0.25">
      <c r="A13" s="37" t="s">
        <v>1</v>
      </c>
      <c r="B13" s="42" t="s">
        <v>4</v>
      </c>
      <c r="C13" s="19" t="s">
        <v>7</v>
      </c>
      <c r="D13" s="29" t="s">
        <v>33</v>
      </c>
      <c r="E13" s="5">
        <v>2.3E-2</v>
      </c>
      <c r="F13" s="8">
        <f t="shared" si="0"/>
        <v>2.3E-2</v>
      </c>
      <c r="G13" s="14">
        <v>0.158</v>
      </c>
      <c r="H13" s="23">
        <f t="shared" si="1"/>
        <v>0.158</v>
      </c>
      <c r="I13" t="s">
        <v>32</v>
      </c>
    </row>
    <row r="14" spans="1:9" x14ac:dyDescent="0.25">
      <c r="A14" s="37"/>
      <c r="B14" s="42"/>
      <c r="C14" s="17" t="s">
        <v>8</v>
      </c>
      <c r="D14" s="30" t="s">
        <v>31</v>
      </c>
      <c r="E14" s="2">
        <v>3.2000000000000001E-2</v>
      </c>
      <c r="F14" s="6">
        <f t="shared" si="0"/>
        <v>3.2000000000000001E-2</v>
      </c>
      <c r="G14" s="15">
        <v>0.23200000000000001</v>
      </c>
      <c r="H14" s="50">
        <f t="shared" si="1"/>
        <v>0.23200000000000001</v>
      </c>
    </row>
    <row r="15" spans="1:9" x14ac:dyDescent="0.25">
      <c r="A15" s="37"/>
      <c r="B15" s="42"/>
      <c r="C15" s="17" t="s">
        <v>9</v>
      </c>
      <c r="D15" s="30" t="s">
        <v>27</v>
      </c>
      <c r="E15" s="2">
        <v>8.0000000000000002E-3</v>
      </c>
      <c r="F15" s="6">
        <f t="shared" si="0"/>
        <v>8.0000000000000002E-3</v>
      </c>
      <c r="G15" s="15">
        <v>4.9000000000000002E-2</v>
      </c>
      <c r="H15" s="10">
        <f t="shared" si="1"/>
        <v>4.9000000000000002E-2</v>
      </c>
    </row>
    <row r="16" spans="1:9" x14ac:dyDescent="0.25">
      <c r="A16" s="37"/>
      <c r="B16" s="42"/>
      <c r="C16" s="17" t="s">
        <v>10</v>
      </c>
      <c r="D16" s="32">
        <v>1.4999999999999999E-2</v>
      </c>
      <c r="E16" s="2">
        <v>2.3E-2</v>
      </c>
      <c r="F16" s="6">
        <f t="shared" si="0"/>
        <v>2.3E-2</v>
      </c>
      <c r="G16" s="15">
        <v>9.8000000000000004E-2</v>
      </c>
      <c r="H16" s="20">
        <f t="shared" si="1"/>
        <v>9.8000000000000004E-2</v>
      </c>
    </row>
    <row r="17" spans="1:8" ht="15.75" thickBot="1" x14ac:dyDescent="0.3">
      <c r="A17" s="38"/>
      <c r="B17" s="43"/>
      <c r="C17" s="18" t="s">
        <v>11</v>
      </c>
      <c r="D17" s="28" t="s">
        <v>28</v>
      </c>
      <c r="E17" s="4">
        <v>1.4999999999999999E-2</v>
      </c>
      <c r="F17" s="7">
        <f t="shared" si="0"/>
        <v>1.4999999999999999E-2</v>
      </c>
      <c r="G17" s="13">
        <v>0.08</v>
      </c>
      <c r="H17" s="9">
        <f t="shared" si="1"/>
        <v>0.08</v>
      </c>
    </row>
    <row r="18" spans="1:8" ht="75" x14ac:dyDescent="0.25">
      <c r="D18" s="3" t="s">
        <v>13</v>
      </c>
      <c r="E18" s="3" t="s">
        <v>16</v>
      </c>
      <c r="F18" s="3" t="s">
        <v>17</v>
      </c>
      <c r="G18" s="3" t="s">
        <v>18</v>
      </c>
      <c r="H18" s="3" t="s">
        <v>20</v>
      </c>
    </row>
    <row r="19" spans="1:8" x14ac:dyDescent="0.25">
      <c r="G19" t="s">
        <v>19</v>
      </c>
    </row>
  </sheetData>
  <mergeCells count="11">
    <mergeCell ref="A3:A4"/>
    <mergeCell ref="B3:B4"/>
    <mergeCell ref="C3:C4"/>
    <mergeCell ref="D3:D4"/>
    <mergeCell ref="E3:H3"/>
    <mergeCell ref="E4:F4"/>
    <mergeCell ref="A5:A12"/>
    <mergeCell ref="A13:A17"/>
    <mergeCell ref="B5:B7"/>
    <mergeCell ref="B8:B12"/>
    <mergeCell ref="B13:B1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VLF Kornhaß, Alexandra</dc:creator>
  <cp:lastModifiedBy>Alexandra Kornhaß</cp:lastModifiedBy>
  <dcterms:created xsi:type="dcterms:W3CDTF">2026-03-03T17:28:31Z</dcterms:created>
  <dcterms:modified xsi:type="dcterms:W3CDTF">2026-03-24T21:00:07Z</dcterms:modified>
</cp:coreProperties>
</file>