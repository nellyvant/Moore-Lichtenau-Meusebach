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tefan\Desktop\Stefan\Projekte\Masterarbeiten MEES\Masterarbeit Nele Herzig, Alexandra Kornhaß\"/>
    </mc:Choice>
  </mc:AlternateContent>
  <bookViews>
    <workbookView xWindow="0" yWindow="0" windowWidth="25200" windowHeight="11850"/>
  </bookViews>
  <sheets>
    <sheet name="26.06.2025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31" i="1" l="1"/>
  <c r="E136" i="1"/>
  <c r="E137" i="1"/>
  <c r="E138" i="1"/>
  <c r="E130" i="1"/>
  <c r="E129" i="1"/>
  <c r="E128" i="1"/>
  <c r="E127" i="1"/>
  <c r="E126" i="1"/>
  <c r="E125" i="1"/>
  <c r="E124" i="1"/>
  <c r="E108" i="1" l="1"/>
  <c r="E109" i="1"/>
  <c r="E110" i="1"/>
  <c r="E111" i="1"/>
  <c r="E112" i="1"/>
  <c r="E113" i="1"/>
  <c r="E114" i="1"/>
  <c r="E107" i="1"/>
  <c r="E106" i="1"/>
  <c r="E105" i="1"/>
  <c r="E104" i="1"/>
  <c r="E103" i="1"/>
  <c r="E102" i="1"/>
  <c r="E101" i="1"/>
  <c r="I106" i="1"/>
  <c r="J106" i="1"/>
  <c r="K106" i="1" s="1"/>
  <c r="H58" i="1"/>
  <c r="H57" i="1"/>
  <c r="I57" i="1" s="1"/>
  <c r="J57" i="1" s="1"/>
  <c r="H64" i="1"/>
  <c r="H65" i="1"/>
  <c r="H66" i="1"/>
  <c r="E67" i="1"/>
  <c r="H67" i="1" s="1"/>
  <c r="E68" i="1"/>
  <c r="H68" i="1" s="1"/>
  <c r="E69" i="1"/>
  <c r="H69" i="1" s="1"/>
  <c r="E70" i="1"/>
  <c r="H70" i="1" s="1"/>
  <c r="H63" i="1"/>
  <c r="E56" i="1"/>
  <c r="E62" i="1"/>
  <c r="E61" i="1"/>
  <c r="E60" i="1"/>
  <c r="E59" i="1"/>
  <c r="E58" i="1"/>
  <c r="E57" i="1"/>
  <c r="I101" i="1" l="1"/>
  <c r="J101" i="1" s="1"/>
  <c r="K101" i="1" s="1"/>
  <c r="I105" i="1"/>
  <c r="J105" i="1" s="1"/>
  <c r="K105" i="1" s="1"/>
  <c r="I104" i="1"/>
  <c r="J104" i="1" s="1"/>
  <c r="K104" i="1" s="1"/>
  <c r="I103" i="1"/>
  <c r="J103" i="1" s="1"/>
  <c r="K103" i="1" s="1"/>
  <c r="I102" i="1"/>
  <c r="J102" i="1" s="1"/>
  <c r="K102" i="1" s="1"/>
  <c r="H62" i="1"/>
  <c r="I62" i="1" s="1"/>
  <c r="J62" i="1" s="1"/>
  <c r="H61" i="1"/>
  <c r="I61" i="1" s="1"/>
  <c r="J61" i="1" s="1"/>
  <c r="H60" i="1"/>
  <c r="I60" i="1" s="1"/>
  <c r="J60" i="1" s="1"/>
  <c r="I58" i="1"/>
  <c r="J58" i="1" s="1"/>
  <c r="I114" i="1" l="1"/>
  <c r="J114" i="1" s="1"/>
  <c r="K114" i="1" s="1"/>
  <c r="I113" i="1"/>
  <c r="J113" i="1" s="1"/>
  <c r="K113" i="1" s="1"/>
  <c r="I112" i="1"/>
  <c r="J112" i="1" s="1"/>
  <c r="K112" i="1" s="1"/>
  <c r="I111" i="1"/>
  <c r="I110" i="1"/>
  <c r="I109" i="1"/>
  <c r="I108" i="1"/>
  <c r="I107" i="1"/>
  <c r="J107" i="1" s="1"/>
  <c r="K107" i="1" s="1"/>
  <c r="I70" i="1"/>
  <c r="J70" i="1" s="1"/>
  <c r="I66" i="1"/>
  <c r="J66" i="1" s="1"/>
  <c r="I64" i="1"/>
  <c r="J64" i="1" s="1"/>
  <c r="I63" i="1"/>
  <c r="J63" i="1" s="1"/>
  <c r="J109" i="1" l="1"/>
  <c r="K109" i="1" s="1"/>
  <c r="J110" i="1"/>
  <c r="K110" i="1" s="1"/>
  <c r="J108" i="1"/>
  <c r="K108" i="1" s="1"/>
  <c r="J111" i="1"/>
  <c r="K111" i="1" s="1"/>
  <c r="I68" i="1"/>
  <c r="J68" i="1" s="1"/>
  <c r="I65" i="1"/>
  <c r="J65" i="1" s="1"/>
  <c r="I69" i="1"/>
  <c r="J69" i="1" s="1"/>
  <c r="I67" i="1"/>
  <c r="J67" i="1" s="1"/>
</calcChain>
</file>

<file path=xl/sharedStrings.xml><?xml version="1.0" encoding="utf-8"?>
<sst xmlns="http://schemas.openxmlformats.org/spreadsheetml/2006/main" count="109" uniqueCount="61">
  <si>
    <t>sample</t>
  </si>
  <si>
    <t>extinktion</t>
  </si>
  <si>
    <t>concentration in µM</t>
  </si>
  <si>
    <t>stand. 50µM</t>
  </si>
  <si>
    <t>stand. 100µM</t>
  </si>
  <si>
    <t>stand. 200µM</t>
  </si>
  <si>
    <t>stand. 500µM</t>
  </si>
  <si>
    <t>standard 5µM</t>
  </si>
  <si>
    <t>stand. 10µM</t>
  </si>
  <si>
    <t>standard 0,5µM</t>
  </si>
  <si>
    <t>stand. 1µM</t>
  </si>
  <si>
    <t>stand. 5µM</t>
  </si>
  <si>
    <t>stand. 25µM</t>
  </si>
  <si>
    <t>concentration calculated [µM]</t>
  </si>
  <si>
    <t>g/mol</t>
  </si>
  <si>
    <t>µM in M</t>
  </si>
  <si>
    <t>Volumen Probe in L</t>
  </si>
  <si>
    <t>L</t>
  </si>
  <si>
    <t>[g/ml]</t>
  </si>
  <si>
    <t>Masse</t>
  </si>
  <si>
    <t>Masse korrigiert</t>
  </si>
  <si>
    <t>[mg/L]</t>
  </si>
  <si>
    <t>concentration</t>
  </si>
  <si>
    <t>[m=M*c*V]</t>
  </si>
  <si>
    <t>Molgewicht  NH4</t>
  </si>
  <si>
    <t>Molgewicht  PO3</t>
  </si>
  <si>
    <t>Masterarbeit Nele Herzig, Alexandra Kornhaß / water chemistry</t>
  </si>
  <si>
    <t>Nitratmessung salicylate methode</t>
  </si>
  <si>
    <t>concentration calculated</t>
  </si>
  <si>
    <t>geplante Probenahmetermine : 26.06.25 / 30.07.25 / 28.08.25 / 29.09.25</t>
  </si>
  <si>
    <t>&gt; übergabe Proben und Messequiptment von Nele Herzig an Martina Hermann</t>
  </si>
  <si>
    <t>&gt; Lagerung der Proben bei 4°C im Kühlschrank</t>
  </si>
  <si>
    <t>&gt; 01.07.25 Filterung der Proben durch 0,45µm Spritzenvorsatzfilter (Entfernung von Schwebstoffen)</t>
  </si>
  <si>
    <t xml:space="preserve">&gt; 01.07.25 Photometrische Messung </t>
  </si>
  <si>
    <t>standard 1µM</t>
  </si>
  <si>
    <t>standard 2,5µM</t>
  </si>
  <si>
    <t>standard 25µM</t>
  </si>
  <si>
    <t>&gt; Nummerierung der Proben wie folgt:</t>
  </si>
  <si>
    <t>1=</t>
  </si>
  <si>
    <t>2=</t>
  </si>
  <si>
    <t>3=</t>
  </si>
  <si>
    <t>4=</t>
  </si>
  <si>
    <t>5=</t>
  </si>
  <si>
    <t>6=</t>
  </si>
  <si>
    <t>7=</t>
  </si>
  <si>
    <t>8=</t>
  </si>
  <si>
    <t>26.06-Meu-T-MS-2</t>
  </si>
  <si>
    <t>26.06-Meu-N-MS-2</t>
  </si>
  <si>
    <t>26.06-Meu-N-MS-3</t>
  </si>
  <si>
    <t>26.06-Meu-N-MS-1</t>
  </si>
  <si>
    <t>26.06-Meu-T-MS-1</t>
  </si>
  <si>
    <t>26.06-Lic-MS-3</t>
  </si>
  <si>
    <t>26.06-Lic-MS-2</t>
  </si>
  <si>
    <t>26.06-Lic-MS-1</t>
  </si>
  <si>
    <t>&gt; Proben 1-4 wiesen eine leichte braune Färbung auf</t>
  </si>
  <si>
    <t>&gt; Proben 5-8 wiesen eine starke braune Färbung auf</t>
  </si>
  <si>
    <t>stand. 2,5µM</t>
  </si>
  <si>
    <t>&gt; aufgrund der braun bis gelblichen Färbung der Proben und der sich daraus ergebenden überinterpretation der Nitratreaktion wurde mit persönlichen Blindwerten gearbeitet</t>
  </si>
  <si>
    <t>&gt; der Nachweis setzt anwesendes Nitrat zu einem gelben Farbstoff um, 3-5-nitrosalicylsäure welcher gelb erscheint und photometrisch bei 420nm gemessen wird</t>
  </si>
  <si>
    <t>&gt; je Probe wurde ein Doppelansatz erstellt, davon einer mit salicylsäure und einer ohne, der Ansatz ohne salicylsäure behält dabei die ursprüngliche gelbe Färbung</t>
  </si>
  <si>
    <t>diese Probe wir als Blindwert gemessen und im Anschluss die eigentliche Probe vermessen, somit wird die Eigenfärbung der Probe "abgezogen"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</si>
</sst>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3" formatCode="_-* #,##0.00_-;\-* #,##0.00_-;_-* &quot;-&quot;??_-;_-@_-"/>
  </numFmts>
  <fonts count="20" x14ac:knownFonts="1">
    <font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indexed="8"/>
      <name val="Calibri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4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44">
    <xf numFmtId="0" fontId="0" fillId="0" borderId="0"/>
    <xf numFmtId="0" fontId="3" fillId="0" borderId="0" applyNumberFormat="0" applyFill="0" applyBorder="0" applyAlignment="0" applyProtection="0"/>
    <xf numFmtId="0" fontId="4" fillId="0" borderId="27" applyNumberFormat="0" applyFill="0" applyAlignment="0" applyProtection="0"/>
    <xf numFmtId="0" fontId="5" fillId="0" borderId="28" applyNumberFormat="0" applyFill="0" applyAlignment="0" applyProtection="0"/>
    <xf numFmtId="0" fontId="6" fillId="0" borderId="29" applyNumberFormat="0" applyFill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3" borderId="0" applyNumberFormat="0" applyBorder="0" applyAlignment="0" applyProtection="0"/>
    <xf numFmtId="0" fontId="9" fillId="4" borderId="0" applyNumberFormat="0" applyBorder="0" applyAlignment="0" applyProtection="0"/>
    <xf numFmtId="0" fontId="10" fillId="5" borderId="30" applyNumberFormat="0" applyAlignment="0" applyProtection="0"/>
    <xf numFmtId="0" fontId="11" fillId="6" borderId="31" applyNumberFormat="0" applyAlignment="0" applyProtection="0"/>
    <xf numFmtId="0" fontId="12" fillId="6" borderId="30" applyNumberFormat="0" applyAlignment="0" applyProtection="0"/>
    <xf numFmtId="0" fontId="13" fillId="0" borderId="32" applyNumberFormat="0" applyFill="0" applyAlignment="0" applyProtection="0"/>
    <xf numFmtId="0" fontId="14" fillId="7" borderId="33" applyNumberFormat="0" applyAlignment="0" applyProtection="0"/>
    <xf numFmtId="0" fontId="15" fillId="0" borderId="0" applyNumberFormat="0" applyFill="0" applyBorder="0" applyAlignment="0" applyProtection="0"/>
    <xf numFmtId="0" fontId="2" fillId="8" borderId="34" applyNumberFormat="0" applyFont="0" applyAlignment="0" applyProtection="0"/>
    <xf numFmtId="0" fontId="16" fillId="0" borderId="0" applyNumberFormat="0" applyFill="0" applyBorder="0" applyAlignment="0" applyProtection="0"/>
    <xf numFmtId="0" fontId="17" fillId="0" borderId="35" applyNumberFormat="0" applyFill="0" applyAlignment="0" applyProtection="0"/>
    <xf numFmtId="0" fontId="18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18" fillId="12" borderId="0" applyNumberFormat="0" applyBorder="0" applyAlignment="0" applyProtection="0"/>
    <xf numFmtId="0" fontId="18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18" fillId="16" borderId="0" applyNumberFormat="0" applyBorder="0" applyAlignment="0" applyProtection="0"/>
    <xf numFmtId="0" fontId="18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18" fillId="20" borderId="0" applyNumberFormat="0" applyBorder="0" applyAlignment="0" applyProtection="0"/>
    <xf numFmtId="0" fontId="18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18" fillId="24" borderId="0" applyNumberFormat="0" applyBorder="0" applyAlignment="0" applyProtection="0"/>
    <xf numFmtId="0" fontId="18" fillId="2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18" fillId="28" borderId="0" applyNumberFormat="0" applyBorder="0" applyAlignment="0" applyProtection="0"/>
    <xf numFmtId="0" fontId="18" fillId="29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18" fillId="32" borderId="0" applyNumberFormat="0" applyBorder="0" applyAlignment="0" applyProtection="0"/>
    <xf numFmtId="43" fontId="2" fillId="0" borderId="0" applyFont="0" applyFill="0" applyBorder="0" applyAlignment="0" applyProtection="0"/>
    <xf numFmtId="0" fontId="19" fillId="0" borderId="0"/>
  </cellStyleXfs>
  <cellXfs count="68">
    <xf numFmtId="0" fontId="0" fillId="0" borderId="0" xfId="0"/>
    <xf numFmtId="0" fontId="1" fillId="0" borderId="0" xfId="0" applyFont="1" applyAlignment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7" xfId="0" applyBorder="1"/>
    <xf numFmtId="0" fontId="0" fillId="0" borderId="8" xfId="0" applyBorder="1"/>
    <xf numFmtId="0" fontId="0" fillId="0" borderId="12" xfId="0" applyBorder="1"/>
    <xf numFmtId="0" fontId="0" fillId="0" borderId="13" xfId="0" applyBorder="1"/>
    <xf numFmtId="0" fontId="0" fillId="0" borderId="17" xfId="0" applyBorder="1"/>
    <xf numFmtId="0" fontId="0" fillId="0" borderId="4" xfId="0" applyBorder="1" applyAlignment="1"/>
    <xf numFmtId="0" fontId="0" fillId="0" borderId="22" xfId="0" applyBorder="1" applyAlignment="1"/>
    <xf numFmtId="0" fontId="0" fillId="0" borderId="9" xfId="0" applyBorder="1" applyAlignment="1"/>
    <xf numFmtId="0" fontId="0" fillId="0" borderId="20" xfId="0" applyBorder="1" applyAlignment="1"/>
    <xf numFmtId="0" fontId="0" fillId="0" borderId="14" xfId="0" applyBorder="1" applyAlignment="1"/>
    <xf numFmtId="0" fontId="0" fillId="0" borderId="23" xfId="0" applyBorder="1" applyAlignment="1"/>
    <xf numFmtId="0" fontId="0" fillId="0" borderId="24" xfId="0" applyBorder="1"/>
    <xf numFmtId="0" fontId="0" fillId="0" borderId="25" xfId="0" applyBorder="1" applyAlignment="1">
      <alignment horizontal="center"/>
    </xf>
    <xf numFmtId="0" fontId="0" fillId="0" borderId="26" xfId="0" applyBorder="1"/>
    <xf numFmtId="0" fontId="0" fillId="0" borderId="25" xfId="0" applyBorder="1"/>
    <xf numFmtId="0" fontId="0" fillId="0" borderId="24" xfId="0" applyBorder="1" applyAlignment="1">
      <alignment horizontal="center"/>
    </xf>
    <xf numFmtId="2" fontId="0" fillId="0" borderId="26" xfId="0" applyNumberFormat="1" applyBorder="1"/>
    <xf numFmtId="2" fontId="0" fillId="0" borderId="25" xfId="0" applyNumberFormat="1" applyBorder="1"/>
    <xf numFmtId="2" fontId="0" fillId="0" borderId="24" xfId="0" applyNumberFormat="1" applyBorder="1"/>
    <xf numFmtId="0" fontId="0" fillId="0" borderId="0" xfId="0"/>
    <xf numFmtId="14" fontId="0" fillId="0" borderId="0" xfId="0" applyNumberFormat="1"/>
    <xf numFmtId="0" fontId="0" fillId="0" borderId="0" xfId="0" applyFont="1" applyAlignment="1">
      <alignment horizontal="left"/>
    </xf>
    <xf numFmtId="14" fontId="0" fillId="0" borderId="0" xfId="0" applyNumberFormat="1" applyFont="1" applyAlignment="1">
      <alignment horizontal="left"/>
    </xf>
    <xf numFmtId="0" fontId="0" fillId="0" borderId="26" xfId="0" applyBorder="1" applyAlignment="1">
      <alignment horizontal="center"/>
    </xf>
    <xf numFmtId="0" fontId="0" fillId="0" borderId="37" xfId="0" applyBorder="1"/>
    <xf numFmtId="0" fontId="0" fillId="0" borderId="21" xfId="0" applyBorder="1"/>
    <xf numFmtId="0" fontId="0" fillId="0" borderId="38" xfId="0" applyBorder="1"/>
    <xf numFmtId="0" fontId="0" fillId="0" borderId="42" xfId="0" applyBorder="1"/>
    <xf numFmtId="0" fontId="0" fillId="0" borderId="41" xfId="0" applyBorder="1" applyAlignment="1"/>
    <xf numFmtId="0" fontId="0" fillId="0" borderId="43" xfId="0" applyBorder="1" applyAlignment="1"/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1" fontId="0" fillId="0" borderId="9" xfId="0" applyNumberFormat="1" applyBorder="1" applyAlignment="1">
      <alignment horizontal="center"/>
    </xf>
    <xf numFmtId="1" fontId="0" fillId="0" borderId="20" xfId="0" applyNumberFormat="1" applyBorder="1" applyAlignment="1">
      <alignment horizontal="center"/>
    </xf>
    <xf numFmtId="1" fontId="0" fillId="0" borderId="40" xfId="0" applyNumberFormat="1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5" xfId="0" applyBorder="1" applyAlignment="1">
      <alignment horizontal="center"/>
    </xf>
    <xf numFmtId="1" fontId="0" fillId="0" borderId="14" xfId="0" applyNumberFormat="1" applyBorder="1" applyAlignment="1">
      <alignment horizontal="center"/>
    </xf>
    <xf numFmtId="1" fontId="0" fillId="0" borderId="39" xfId="0" applyNumberFormat="1" applyBorder="1" applyAlignment="1">
      <alignment horizontal="center"/>
    </xf>
    <xf numFmtId="0" fontId="0" fillId="0" borderId="20" xfId="0" applyBorder="1" applyAlignment="1">
      <alignment horizontal="center"/>
    </xf>
    <xf numFmtId="1" fontId="0" fillId="0" borderId="8" xfId="0" applyNumberFormat="1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36" xfId="0" applyBorder="1" applyAlignment="1">
      <alignment horizontal="center"/>
    </xf>
    <xf numFmtId="1" fontId="0" fillId="0" borderId="4" xfId="0" applyNumberFormat="1" applyBorder="1" applyAlignment="1">
      <alignment horizontal="center"/>
    </xf>
    <xf numFmtId="1" fontId="0" fillId="0" borderId="22" xfId="0" applyNumberFormat="1" applyBorder="1" applyAlignment="1">
      <alignment horizontal="center"/>
    </xf>
    <xf numFmtId="0" fontId="0" fillId="0" borderId="41" xfId="0" applyBorder="1" applyAlignment="1">
      <alignment horizontal="center"/>
    </xf>
    <xf numFmtId="0" fontId="0" fillId="0" borderId="44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1" fontId="0" fillId="0" borderId="3" xfId="0" applyNumberFormat="1" applyBorder="1" applyAlignment="1">
      <alignment horizontal="center"/>
    </xf>
    <xf numFmtId="1" fontId="0" fillId="0" borderId="6" xfId="0" applyNumberFormat="1" applyBorder="1" applyAlignment="1">
      <alignment horizontal="center"/>
    </xf>
    <xf numFmtId="0" fontId="1" fillId="0" borderId="0" xfId="0" applyFont="1" applyAlignment="1">
      <alignment horizontal="center"/>
    </xf>
    <xf numFmtId="1" fontId="0" fillId="0" borderId="11" xfId="0" applyNumberFormat="1" applyBorder="1" applyAlignment="1">
      <alignment horizontal="center"/>
    </xf>
    <xf numFmtId="0" fontId="0" fillId="0" borderId="19" xfId="0" applyBorder="1" applyAlignment="1">
      <alignment horizontal="center"/>
    </xf>
    <xf numFmtId="1" fontId="0" fillId="0" borderId="17" xfId="0" applyNumberFormat="1" applyBorder="1" applyAlignment="1">
      <alignment horizontal="center"/>
    </xf>
    <xf numFmtId="1" fontId="0" fillId="0" borderId="13" xfId="0" applyNumberFormat="1" applyBorder="1" applyAlignment="1">
      <alignment horizontal="center"/>
    </xf>
    <xf numFmtId="1" fontId="0" fillId="0" borderId="16" xfId="0" applyNumberFormat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0" xfId="0" applyFont="1" applyAlignment="1">
      <alignment horizontal="right"/>
    </xf>
    <xf numFmtId="0" fontId="0" fillId="0" borderId="45" xfId="0" applyFill="1" applyBorder="1"/>
    <xf numFmtId="0" fontId="0" fillId="0" borderId="0" xfId="0" applyAlignment="1">
      <alignment horizontal="center"/>
    </xf>
    <xf numFmtId="0" fontId="0" fillId="0" borderId="0" xfId="0" applyFill="1" applyBorder="1" applyAlignment="1">
      <alignment horizontal="center"/>
    </xf>
    <xf numFmtId="0" fontId="0" fillId="0" borderId="45" xfId="0" applyFill="1" applyBorder="1" applyAlignment="1">
      <alignment horizontal="center"/>
    </xf>
  </cellXfs>
  <cellStyles count="44">
    <cellStyle name="20 % - Akzent1" xfId="19" builtinId="30" customBuiltin="1"/>
    <cellStyle name="20 % - Akzent2" xfId="23" builtinId="34" customBuiltin="1"/>
    <cellStyle name="20 % - Akzent3" xfId="27" builtinId="38" customBuiltin="1"/>
    <cellStyle name="20 % - Akzent4" xfId="31" builtinId="42" customBuiltin="1"/>
    <cellStyle name="20 % - Akzent5" xfId="35" builtinId="46" customBuiltin="1"/>
    <cellStyle name="20 % - Akzent6" xfId="39" builtinId="50" customBuiltin="1"/>
    <cellStyle name="40 % - Akzent1" xfId="20" builtinId="31" customBuiltin="1"/>
    <cellStyle name="40 % - Akzent2" xfId="24" builtinId="35" customBuiltin="1"/>
    <cellStyle name="40 % - Akzent3" xfId="28" builtinId="39" customBuiltin="1"/>
    <cellStyle name="40 % - Akzent4" xfId="32" builtinId="43" customBuiltin="1"/>
    <cellStyle name="40 % - Akzent5" xfId="36" builtinId="47" customBuiltin="1"/>
    <cellStyle name="40 % - Akzent6" xfId="40" builtinId="51" customBuiltin="1"/>
    <cellStyle name="60 % - Akzent1" xfId="21" builtinId="32" customBuiltin="1"/>
    <cellStyle name="60 % - Akzent2" xfId="25" builtinId="36" customBuiltin="1"/>
    <cellStyle name="60 % - Akzent3" xfId="29" builtinId="40" customBuiltin="1"/>
    <cellStyle name="60 % - Akzent4" xfId="33" builtinId="44" customBuiltin="1"/>
    <cellStyle name="60 % - Akzent5" xfId="37" builtinId="48" customBuiltin="1"/>
    <cellStyle name="60 % - Akzent6" xfId="41" builtinId="52" customBuiltin="1"/>
    <cellStyle name="Akzent1" xfId="18" builtinId="29" customBuiltin="1"/>
    <cellStyle name="Akzent2" xfId="22" builtinId="33" customBuiltin="1"/>
    <cellStyle name="Akzent3" xfId="26" builtinId="37" customBuiltin="1"/>
    <cellStyle name="Akzent4" xfId="30" builtinId="41" customBuiltin="1"/>
    <cellStyle name="Akzent5" xfId="34" builtinId="45" customBuiltin="1"/>
    <cellStyle name="Akzent6" xfId="38" builtinId="49" customBuiltin="1"/>
    <cellStyle name="Ausgabe" xfId="10" builtinId="21" customBuiltin="1"/>
    <cellStyle name="Berechnung" xfId="11" builtinId="22" customBuiltin="1"/>
    <cellStyle name="Eingabe" xfId="9" builtinId="20" customBuiltin="1"/>
    <cellStyle name="Ergebnis" xfId="17" builtinId="25" customBuiltin="1"/>
    <cellStyle name="Erklärender Text" xfId="16" builtinId="53" customBuiltin="1"/>
    <cellStyle name="Gut" xfId="6" builtinId="26" customBuiltin="1"/>
    <cellStyle name="Komma 2" xfId="42"/>
    <cellStyle name="Neutral" xfId="8" builtinId="28" customBuiltin="1"/>
    <cellStyle name="Notiz" xfId="15" builtinId="10" customBuiltin="1"/>
    <cellStyle name="Schlecht" xfId="7" builtinId="27" customBuiltin="1"/>
    <cellStyle name="Standard" xfId="0" builtinId="0"/>
    <cellStyle name="Standard 2" xfId="43"/>
    <cellStyle name="Überschrift" xfId="1" builtinId="15" customBuiltin="1"/>
    <cellStyle name="Überschrift 1" xfId="2" builtinId="16" customBuiltin="1"/>
    <cellStyle name="Überschrift 2" xfId="3" builtinId="17" customBuiltin="1"/>
    <cellStyle name="Überschrift 3" xfId="4" builtinId="18" customBuiltin="1"/>
    <cellStyle name="Überschrift 4" xfId="5" builtinId="19" customBuiltin="1"/>
    <cellStyle name="Verknüpfte Zelle" xfId="12" builtinId="24" customBuiltin="1"/>
    <cellStyle name="Warnender Text" xfId="14" builtinId="11" customBuiltin="1"/>
    <cellStyle name="Zelle überprüfe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DE"/>
              <a:t>Standardreihe Ammonium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scatterChart>
        <c:scatterStyle val="lineMarker"/>
        <c:varyColors val="0"/>
        <c:ser>
          <c:idx val="1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0.22314128281067305"/>
                  <c:y val="-0.17634259259259261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de-DE"/>
                </a:p>
              </c:txPr>
            </c:trendlineLbl>
          </c:trendline>
          <c:xVal>
            <c:numRef>
              <c:f>'26.06.2025'!$C$57:$C$62</c:f>
              <c:numCache>
                <c:formatCode>General</c:formatCode>
                <c:ptCount val="6"/>
                <c:pt idx="0">
                  <c:v>5</c:v>
                </c:pt>
                <c:pt idx="1">
                  <c:v>10</c:v>
                </c:pt>
                <c:pt idx="2">
                  <c:v>25</c:v>
                </c:pt>
                <c:pt idx="3">
                  <c:v>50</c:v>
                </c:pt>
                <c:pt idx="4">
                  <c:v>100</c:v>
                </c:pt>
                <c:pt idx="5">
                  <c:v>200</c:v>
                </c:pt>
              </c:numCache>
            </c:numRef>
          </c:xVal>
          <c:yVal>
            <c:numRef>
              <c:f>'26.06.2025'!$B$57:$B$62</c:f>
              <c:numCache>
                <c:formatCode>General</c:formatCode>
                <c:ptCount val="6"/>
                <c:pt idx="0">
                  <c:v>0.04</c:v>
                </c:pt>
                <c:pt idx="1">
                  <c:v>8.4000000000000005E-2</c:v>
                </c:pt>
                <c:pt idx="2">
                  <c:v>0.22800000000000001</c:v>
                </c:pt>
                <c:pt idx="3">
                  <c:v>0.54300000000000004</c:v>
                </c:pt>
                <c:pt idx="4">
                  <c:v>0.98199999999999998</c:v>
                </c:pt>
                <c:pt idx="5">
                  <c:v>1.8460000000000001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E5D-4836-B41C-D97B820C51C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54233024"/>
        <c:axId val="454234664"/>
      </c:scatterChart>
      <c:valAx>
        <c:axId val="4542330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454234664"/>
        <c:crosses val="autoZero"/>
        <c:crossBetween val="midCat"/>
      </c:valAx>
      <c:valAx>
        <c:axId val="4542346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45423302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DE"/>
              <a:t>Standardreihe Phosphat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scatterChart>
        <c:scatterStyle val="lineMarker"/>
        <c:varyColors val="0"/>
        <c:ser>
          <c:idx val="1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4.067410323709536E-2"/>
                  <c:y val="-0.1760148731408574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de-DE"/>
                </a:p>
              </c:txPr>
            </c:trendlineLbl>
          </c:trendline>
          <c:xVal>
            <c:numRef>
              <c:f>'26.06.2025'!$C$101:$C$105</c:f>
              <c:numCache>
                <c:formatCode>General</c:formatCode>
                <c:ptCount val="5"/>
                <c:pt idx="0">
                  <c:v>0.5</c:v>
                </c:pt>
                <c:pt idx="1">
                  <c:v>1</c:v>
                </c:pt>
                <c:pt idx="2">
                  <c:v>5</c:v>
                </c:pt>
                <c:pt idx="3">
                  <c:v>10</c:v>
                </c:pt>
                <c:pt idx="4">
                  <c:v>25</c:v>
                </c:pt>
              </c:numCache>
            </c:numRef>
          </c:xVal>
          <c:yVal>
            <c:numRef>
              <c:f>'26.06.2025'!$B$101:$B$105</c:f>
              <c:numCache>
                <c:formatCode>General</c:formatCode>
                <c:ptCount val="5"/>
                <c:pt idx="0">
                  <c:v>1E-3</c:v>
                </c:pt>
                <c:pt idx="1">
                  <c:v>1.6E-2</c:v>
                </c:pt>
                <c:pt idx="2">
                  <c:v>8.8999999999999996E-2</c:v>
                </c:pt>
                <c:pt idx="3">
                  <c:v>0.217</c:v>
                </c:pt>
                <c:pt idx="4">
                  <c:v>0.501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4C4-4383-AAE8-162429B058C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03854112"/>
        <c:axId val="503856408"/>
      </c:scatterChart>
      <c:valAx>
        <c:axId val="503854112"/>
        <c:scaling>
          <c:orientation val="minMax"/>
          <c:max val="3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503856408"/>
        <c:crosses val="autoZero"/>
        <c:crossBetween val="midCat"/>
        <c:majorUnit val="5"/>
      </c:valAx>
      <c:valAx>
        <c:axId val="503856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50385411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DE" sz="1400" b="0" i="0" u="none" strike="noStrike" baseline="0">
                <a:effectLst/>
              </a:rPr>
              <a:t>Standardreihe </a:t>
            </a:r>
            <a:r>
              <a:rPr lang="de-DE"/>
              <a:t>Nitrat salicylate</a:t>
            </a:r>
          </a:p>
        </c:rich>
      </c:tx>
      <c:layout>
        <c:manualLayout>
          <c:xMode val="edge"/>
          <c:yMode val="edge"/>
          <c:x val="0.24071025373082822"/>
          <c:y val="4.148871528723040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0.15840773669453995"/>
                  <c:y val="-0.25011050103625415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de-DE"/>
                </a:p>
              </c:txPr>
            </c:trendlineLbl>
          </c:trendline>
          <c:xVal>
            <c:numRef>
              <c:f>'26.06.2025'!$C$123:$C$130</c:f>
              <c:numCache>
                <c:formatCode>General</c:formatCode>
                <c:ptCount val="8"/>
                <c:pt idx="0">
                  <c:v>2.5</c:v>
                </c:pt>
                <c:pt idx="1">
                  <c:v>5</c:v>
                </c:pt>
                <c:pt idx="2">
                  <c:v>10</c:v>
                </c:pt>
                <c:pt idx="3">
                  <c:v>25</c:v>
                </c:pt>
                <c:pt idx="4">
                  <c:v>50</c:v>
                </c:pt>
                <c:pt idx="5">
                  <c:v>100</c:v>
                </c:pt>
                <c:pt idx="6">
                  <c:v>200</c:v>
                </c:pt>
                <c:pt idx="7">
                  <c:v>500</c:v>
                </c:pt>
              </c:numCache>
            </c:numRef>
          </c:xVal>
          <c:yVal>
            <c:numRef>
              <c:f>'26.06.2025'!$B$123:$B$130</c:f>
              <c:numCache>
                <c:formatCode>General</c:formatCode>
                <c:ptCount val="8"/>
                <c:pt idx="0">
                  <c:v>0</c:v>
                </c:pt>
                <c:pt idx="1">
                  <c:v>1E-3</c:v>
                </c:pt>
                <c:pt idx="2">
                  <c:v>8.0000000000000002E-3</c:v>
                </c:pt>
                <c:pt idx="3">
                  <c:v>4.1000000000000002E-2</c:v>
                </c:pt>
                <c:pt idx="4">
                  <c:v>8.3000000000000004E-2</c:v>
                </c:pt>
                <c:pt idx="5">
                  <c:v>0.17499999999999999</c:v>
                </c:pt>
                <c:pt idx="6">
                  <c:v>0.375</c:v>
                </c:pt>
                <c:pt idx="7">
                  <c:v>0.91500000000000004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39E-4DE1-A7D7-19231D2BB8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54811976"/>
        <c:axId val="354822800"/>
      </c:scatterChart>
      <c:valAx>
        <c:axId val="3548119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354822800"/>
        <c:crosses val="autoZero"/>
        <c:crossBetween val="midCat"/>
      </c:valAx>
      <c:valAx>
        <c:axId val="3548228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35481197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.xml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5" Type="http://schemas.openxmlformats.org/officeDocument/2006/relationships/chart" Target="../charts/chart3.xml"/><Relationship Id="rId4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23</xdr:row>
      <xdr:rowOff>11205</xdr:rowOff>
    </xdr:from>
    <xdr:to>
      <xdr:col>4</xdr:col>
      <xdr:colOff>276945</xdr:colOff>
      <xdr:row>52</xdr:row>
      <xdr:rowOff>69354</xdr:rowOff>
    </xdr:to>
    <xdr:pic>
      <xdr:nvPicPr>
        <xdr:cNvPr id="4" name="Grafik 3"/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0232" t="2518" r="11233" b="16866"/>
        <a:stretch/>
      </xdr:blipFill>
      <xdr:spPr>
        <a:xfrm>
          <a:off x="0" y="13365255"/>
          <a:ext cx="4511488" cy="5596256"/>
        </a:xfrm>
        <a:prstGeom prst="rect">
          <a:avLst/>
        </a:prstGeom>
      </xdr:spPr>
    </xdr:pic>
    <xdr:clientData/>
  </xdr:twoCellAnchor>
  <xdr:twoCellAnchor editAs="oneCell">
    <xdr:from>
      <xdr:col>0</xdr:col>
      <xdr:colOff>115260</xdr:colOff>
      <xdr:row>71</xdr:row>
      <xdr:rowOff>60830</xdr:rowOff>
    </xdr:from>
    <xdr:to>
      <xdr:col>5</xdr:col>
      <xdr:colOff>571499</xdr:colOff>
      <xdr:row>98</xdr:row>
      <xdr:rowOff>122769</xdr:rowOff>
    </xdr:to>
    <xdr:pic>
      <xdr:nvPicPr>
        <xdr:cNvPr id="5" name="Grafik 4"/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1035" t="3236" r="12434" b="13205"/>
        <a:stretch/>
      </xdr:blipFill>
      <xdr:spPr>
        <a:xfrm>
          <a:off x="115260" y="28673930"/>
          <a:ext cx="5509932" cy="5219047"/>
        </a:xfrm>
        <a:prstGeom prst="rect">
          <a:avLst/>
        </a:prstGeom>
      </xdr:spPr>
    </xdr:pic>
    <xdr:clientData/>
  </xdr:twoCellAnchor>
  <xdr:twoCellAnchor>
    <xdr:from>
      <xdr:col>6</xdr:col>
      <xdr:colOff>189698</xdr:colOff>
      <xdr:row>24</xdr:row>
      <xdr:rowOff>174010</xdr:rowOff>
    </xdr:from>
    <xdr:to>
      <xdr:col>12</xdr:col>
      <xdr:colOff>65794</xdr:colOff>
      <xdr:row>39</xdr:row>
      <xdr:rowOff>59710</xdr:rowOff>
    </xdr:to>
    <xdr:graphicFrame macro="">
      <xdr:nvGraphicFramePr>
        <xdr:cNvPr id="6" name="Diagramm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81651</xdr:colOff>
      <xdr:row>73</xdr:row>
      <xdr:rowOff>13615</xdr:rowOff>
    </xdr:from>
    <xdr:to>
      <xdr:col>13</xdr:col>
      <xdr:colOff>734794</xdr:colOff>
      <xdr:row>87</xdr:row>
      <xdr:rowOff>89815</xdr:rowOff>
    </xdr:to>
    <xdr:graphicFrame macro="">
      <xdr:nvGraphicFramePr>
        <xdr:cNvPr id="7" name="Diagramm 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7</xdr:col>
      <xdr:colOff>220115</xdr:colOff>
      <xdr:row>119</xdr:row>
      <xdr:rowOff>24332</xdr:rowOff>
    </xdr:from>
    <xdr:to>
      <xdr:col>12</xdr:col>
      <xdr:colOff>215314</xdr:colOff>
      <xdr:row>128</xdr:row>
      <xdr:rowOff>132869</xdr:rowOff>
    </xdr:to>
    <xdr:graphicFrame macro="">
      <xdr:nvGraphicFramePr>
        <xdr:cNvPr id="8" name="Diagramm 7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50"/>
  <sheetViews>
    <sheetView tabSelected="1" zoomScaleNormal="100" zoomScalePageLayoutView="85" workbookViewId="0">
      <selection activeCell="J11" sqref="J11"/>
    </sheetView>
  </sheetViews>
  <sheetFormatPr baseColWidth="10" defaultRowHeight="15" x14ac:dyDescent="0.25"/>
  <cols>
    <col min="1" max="1" width="24.85546875" customWidth="1"/>
    <col min="2" max="2" width="11.5703125" customWidth="1"/>
    <col min="6" max="6" width="18.5703125" customWidth="1"/>
    <col min="8" max="8" width="14.85546875" bestFit="1" customWidth="1"/>
    <col min="9" max="9" width="12.7109375" customWidth="1"/>
    <col min="10" max="10" width="16.7109375" customWidth="1"/>
    <col min="11" max="11" width="16.85546875" customWidth="1"/>
  </cols>
  <sheetData>
    <row r="1" spans="1:9" x14ac:dyDescent="0.25">
      <c r="A1" s="56" t="s">
        <v>26</v>
      </c>
      <c r="B1" s="56"/>
      <c r="C1" s="56"/>
      <c r="D1" s="56"/>
      <c r="E1" s="56"/>
      <c r="F1" s="56"/>
      <c r="G1" s="56"/>
      <c r="H1" s="56"/>
      <c r="I1" s="1"/>
    </row>
    <row r="2" spans="1:9" s="26" customFormat="1" x14ac:dyDescent="0.25">
      <c r="A2" s="26" t="s">
        <v>29</v>
      </c>
    </row>
    <row r="3" spans="1:9" s="26" customFormat="1" x14ac:dyDescent="0.25"/>
    <row r="4" spans="1:9" s="26" customFormat="1" x14ac:dyDescent="0.25">
      <c r="A4" s="27">
        <v>45865</v>
      </c>
    </row>
    <row r="5" spans="1:9" s="26" customFormat="1" x14ac:dyDescent="0.25">
      <c r="A5" s="26" t="s">
        <v>30</v>
      </c>
    </row>
    <row r="6" spans="1:9" s="26" customFormat="1" x14ac:dyDescent="0.25">
      <c r="A6" s="26" t="s">
        <v>31</v>
      </c>
    </row>
    <row r="7" spans="1:9" s="26" customFormat="1" x14ac:dyDescent="0.25">
      <c r="A7" s="26" t="s">
        <v>32</v>
      </c>
    </row>
    <row r="8" spans="1:9" s="26" customFormat="1" x14ac:dyDescent="0.25">
      <c r="A8" s="26" t="s">
        <v>33</v>
      </c>
    </row>
    <row r="9" spans="1:9" s="26" customFormat="1" x14ac:dyDescent="0.25">
      <c r="A9" s="26" t="s">
        <v>37</v>
      </c>
    </row>
    <row r="10" spans="1:9" s="26" customFormat="1" x14ac:dyDescent="0.25">
      <c r="B10" s="63" t="s">
        <v>38</v>
      </c>
      <c r="C10" s="26" t="s">
        <v>46</v>
      </c>
    </row>
    <row r="11" spans="1:9" s="26" customFormat="1" x14ac:dyDescent="0.25">
      <c r="B11" s="63" t="s">
        <v>39</v>
      </c>
      <c r="C11" s="26" t="s">
        <v>47</v>
      </c>
    </row>
    <row r="12" spans="1:9" s="26" customFormat="1" x14ac:dyDescent="0.25">
      <c r="B12" s="63" t="s">
        <v>40</v>
      </c>
      <c r="C12" s="26" t="s">
        <v>48</v>
      </c>
    </row>
    <row r="13" spans="1:9" s="26" customFormat="1" x14ac:dyDescent="0.25">
      <c r="B13" s="63" t="s">
        <v>41</v>
      </c>
      <c r="C13" s="26" t="s">
        <v>49</v>
      </c>
    </row>
    <row r="14" spans="1:9" s="26" customFormat="1" x14ac:dyDescent="0.25">
      <c r="B14" s="63" t="s">
        <v>42</v>
      </c>
      <c r="C14" s="26" t="s">
        <v>50</v>
      </c>
    </row>
    <row r="15" spans="1:9" s="26" customFormat="1" x14ac:dyDescent="0.25">
      <c r="B15" s="63" t="s">
        <v>43</v>
      </c>
      <c r="C15" s="26" t="s">
        <v>51</v>
      </c>
    </row>
    <row r="16" spans="1:9" s="26" customFormat="1" x14ac:dyDescent="0.25">
      <c r="B16" s="63" t="s">
        <v>44</v>
      </c>
      <c r="C16" s="26" t="s">
        <v>52</v>
      </c>
    </row>
    <row r="17" spans="1:3" s="26" customFormat="1" x14ac:dyDescent="0.25">
      <c r="B17" s="63" t="s">
        <v>45</v>
      </c>
      <c r="C17" s="26" t="s">
        <v>53</v>
      </c>
    </row>
    <row r="18" spans="1:3" s="26" customFormat="1" x14ac:dyDescent="0.25">
      <c r="A18" s="26" t="s">
        <v>54</v>
      </c>
    </row>
    <row r="19" spans="1:3" s="26" customFormat="1" x14ac:dyDescent="0.25">
      <c r="A19" s="26" t="s">
        <v>55</v>
      </c>
    </row>
    <row r="20" spans="1:3" s="26" customFormat="1" x14ac:dyDescent="0.25">
      <c r="A20" s="26" t="s">
        <v>57</v>
      </c>
    </row>
    <row r="21" spans="1:3" s="26" customFormat="1" x14ac:dyDescent="0.25">
      <c r="A21" s="26" t="s">
        <v>58</v>
      </c>
    </row>
    <row r="22" spans="1:3" s="26" customFormat="1" x14ac:dyDescent="0.25">
      <c r="A22" s="26" t="s">
        <v>59</v>
      </c>
    </row>
    <row r="23" spans="1:3" s="26" customFormat="1" x14ac:dyDescent="0.25">
      <c r="A23" s="26" t="s">
        <v>60</v>
      </c>
    </row>
    <row r="49" spans="1:11" x14ac:dyDescent="0.25">
      <c r="H49" t="s">
        <v>24</v>
      </c>
      <c r="J49">
        <v>18.038460000000001</v>
      </c>
      <c r="K49" t="s">
        <v>14</v>
      </c>
    </row>
    <row r="50" spans="1:11" x14ac:dyDescent="0.25">
      <c r="H50" t="s">
        <v>16</v>
      </c>
      <c r="J50">
        <v>1E-3</v>
      </c>
      <c r="K50" t="s">
        <v>17</v>
      </c>
    </row>
    <row r="51" spans="1:11" ht="15.75" thickBot="1" x14ac:dyDescent="0.3"/>
    <row r="52" spans="1:11" x14ac:dyDescent="0.25">
      <c r="H52" s="16" t="s">
        <v>22</v>
      </c>
      <c r="I52" s="20" t="s">
        <v>19</v>
      </c>
      <c r="J52" s="20" t="s">
        <v>20</v>
      </c>
    </row>
    <row r="53" spans="1:11" ht="15.75" thickBot="1" x14ac:dyDescent="0.3">
      <c r="H53" s="17" t="s">
        <v>15</v>
      </c>
      <c r="I53" s="17" t="s">
        <v>18</v>
      </c>
      <c r="J53" s="17" t="s">
        <v>21</v>
      </c>
    </row>
    <row r="54" spans="1:11" x14ac:dyDescent="0.25">
      <c r="A54" s="29" t="s">
        <v>0</v>
      </c>
      <c r="B54" s="30" t="s">
        <v>1</v>
      </c>
      <c r="C54" s="30" t="s">
        <v>2</v>
      </c>
      <c r="D54" s="30"/>
      <c r="E54" s="30" t="s">
        <v>13</v>
      </c>
      <c r="F54" s="31"/>
      <c r="H54" s="16"/>
      <c r="I54" s="20" t="s">
        <v>23</v>
      </c>
      <c r="J54" s="16"/>
    </row>
    <row r="55" spans="1:11" s="24" customFormat="1" x14ac:dyDescent="0.25">
      <c r="A55" s="5" t="s">
        <v>34</v>
      </c>
      <c r="B55" s="6">
        <v>5.0000000000000001E-3</v>
      </c>
      <c r="C55" s="62">
        <v>1</v>
      </c>
      <c r="D55" s="62"/>
      <c r="E55" s="45">
        <v>0</v>
      </c>
      <c r="F55" s="57"/>
      <c r="H55" s="18"/>
      <c r="I55" s="28"/>
      <c r="J55" s="18"/>
    </row>
    <row r="56" spans="1:11" s="24" customFormat="1" x14ac:dyDescent="0.25">
      <c r="A56" s="5" t="s">
        <v>35</v>
      </c>
      <c r="B56" s="6">
        <v>1.6E-2</v>
      </c>
      <c r="C56" s="62">
        <v>2.5</v>
      </c>
      <c r="D56" s="62"/>
      <c r="E56" s="45">
        <f t="shared" ref="E55:E56" si="0">(B56-0.0164)/0.0093</f>
        <v>-4.3010752688172157E-2</v>
      </c>
      <c r="F56" s="57"/>
      <c r="H56" s="18"/>
      <c r="I56" s="28"/>
      <c r="J56" s="18"/>
    </row>
    <row r="57" spans="1:11" x14ac:dyDescent="0.25">
      <c r="A57" s="5" t="s">
        <v>7</v>
      </c>
      <c r="B57" s="6">
        <v>0.04</v>
      </c>
      <c r="C57" s="62">
        <v>5</v>
      </c>
      <c r="D57" s="62"/>
      <c r="E57" s="45">
        <f>(B57-0.0164)/0.0093</f>
        <v>2.5376344086021505</v>
      </c>
      <c r="F57" s="57"/>
      <c r="H57" s="18">
        <f>C57/1000000</f>
        <v>5.0000000000000004E-6</v>
      </c>
      <c r="I57" s="18">
        <f>$J$49*H57</f>
        <v>9.0192300000000014E-5</v>
      </c>
      <c r="J57" s="21">
        <f>I57*1000</f>
        <v>9.0192300000000017E-2</v>
      </c>
    </row>
    <row r="58" spans="1:11" x14ac:dyDescent="0.25">
      <c r="A58" s="5" t="s">
        <v>8</v>
      </c>
      <c r="B58" s="6">
        <v>8.4000000000000005E-2</v>
      </c>
      <c r="C58" s="62">
        <v>10</v>
      </c>
      <c r="D58" s="62"/>
      <c r="E58" s="37">
        <f t="shared" ref="E58:E62" si="1">(B58-0.0164)/0.0093</f>
        <v>7.2688172043010768</v>
      </c>
      <c r="F58" s="39"/>
      <c r="H58" s="18">
        <f>C58/1000000</f>
        <v>1.0000000000000001E-5</v>
      </c>
      <c r="I58" s="18">
        <f t="shared" ref="I58:I62" si="2">$J$49*H58</f>
        <v>1.8038460000000003E-4</v>
      </c>
      <c r="J58" s="21">
        <f t="shared" ref="J58:J62" si="3">I58*1000</f>
        <v>0.18038460000000003</v>
      </c>
    </row>
    <row r="59" spans="1:11" s="24" customFormat="1" x14ac:dyDescent="0.25">
      <c r="A59" s="5" t="s">
        <v>36</v>
      </c>
      <c r="B59" s="6">
        <v>0.22800000000000001</v>
      </c>
      <c r="C59" s="62">
        <v>25</v>
      </c>
      <c r="D59" s="62"/>
      <c r="E59" s="37">
        <f t="shared" si="1"/>
        <v>22.752688172043015</v>
      </c>
      <c r="F59" s="39"/>
      <c r="H59" s="18"/>
      <c r="I59" s="18"/>
      <c r="J59" s="21"/>
    </row>
    <row r="60" spans="1:11" x14ac:dyDescent="0.25">
      <c r="A60" s="5" t="s">
        <v>3</v>
      </c>
      <c r="B60" s="6">
        <v>0.54300000000000004</v>
      </c>
      <c r="C60" s="62">
        <v>50</v>
      </c>
      <c r="D60" s="62"/>
      <c r="E60" s="37">
        <f t="shared" si="1"/>
        <v>56.62365591397851</v>
      </c>
      <c r="F60" s="39"/>
      <c r="H60" s="18">
        <f>C60/1000000</f>
        <v>5.0000000000000002E-5</v>
      </c>
      <c r="I60" s="18">
        <f t="shared" si="2"/>
        <v>9.0192300000000011E-4</v>
      </c>
      <c r="J60" s="21">
        <f t="shared" si="3"/>
        <v>0.90192300000000014</v>
      </c>
    </row>
    <row r="61" spans="1:11" x14ac:dyDescent="0.25">
      <c r="A61" s="5" t="s">
        <v>4</v>
      </c>
      <c r="B61" s="6">
        <v>0.98199999999999998</v>
      </c>
      <c r="C61" s="62">
        <v>100</v>
      </c>
      <c r="D61" s="62"/>
      <c r="E61" s="37">
        <f t="shared" si="1"/>
        <v>103.82795698924733</v>
      </c>
      <c r="F61" s="39"/>
      <c r="H61" s="18">
        <f>C61/1000000</f>
        <v>1E-4</v>
      </c>
      <c r="I61" s="18">
        <f t="shared" si="2"/>
        <v>1.8038460000000002E-3</v>
      </c>
      <c r="J61" s="21">
        <f t="shared" si="3"/>
        <v>1.8038460000000003</v>
      </c>
    </row>
    <row r="62" spans="1:11" ht="15.75" thickBot="1" x14ac:dyDescent="0.3">
      <c r="A62" s="7" t="s">
        <v>5</v>
      </c>
      <c r="B62" s="8">
        <v>1.8460000000000001</v>
      </c>
      <c r="C62" s="40">
        <v>200</v>
      </c>
      <c r="D62" s="41"/>
      <c r="E62" s="42">
        <f t="shared" si="1"/>
        <v>196.73118279569894</v>
      </c>
      <c r="F62" s="43"/>
      <c r="H62" s="19">
        <f>C62/1000000</f>
        <v>2.0000000000000001E-4</v>
      </c>
      <c r="I62" s="19">
        <f t="shared" si="2"/>
        <v>3.6076920000000005E-3</v>
      </c>
      <c r="J62" s="22">
        <f t="shared" si="3"/>
        <v>3.6076920000000006</v>
      </c>
    </row>
    <row r="63" spans="1:11" x14ac:dyDescent="0.25">
      <c r="A63" s="9" t="s">
        <v>46</v>
      </c>
      <c r="B63" s="9">
        <v>1.0999999999999999E-2</v>
      </c>
      <c r="C63" s="46"/>
      <c r="D63" s="58"/>
      <c r="E63" s="59">
        <v>0</v>
      </c>
      <c r="F63" s="59"/>
      <c r="H63" s="18">
        <f t="shared" ref="H63:H70" si="4">E63/1000000</f>
        <v>0</v>
      </c>
      <c r="I63" s="18">
        <f>$J$49*H63*$J$50</f>
        <v>0</v>
      </c>
      <c r="J63" s="21">
        <f>I63*1000000</f>
        <v>0</v>
      </c>
    </row>
    <row r="64" spans="1:11" x14ac:dyDescent="0.25">
      <c r="A64" s="6" t="s">
        <v>47</v>
      </c>
      <c r="B64" s="6">
        <v>2E-3</v>
      </c>
      <c r="C64" s="35"/>
      <c r="D64" s="44"/>
      <c r="E64" s="45">
        <v>0</v>
      </c>
      <c r="F64" s="45"/>
      <c r="H64" s="18">
        <f t="shared" si="4"/>
        <v>0</v>
      </c>
      <c r="I64" s="18">
        <f t="shared" ref="I64:I70" si="5">$J$49*H64*$J$50</f>
        <v>0</v>
      </c>
      <c r="J64" s="21">
        <f t="shared" ref="J64:J70" si="6">I64*1000000</f>
        <v>0</v>
      </c>
    </row>
    <row r="65" spans="1:10" x14ac:dyDescent="0.25">
      <c r="A65" s="6" t="s">
        <v>48</v>
      </c>
      <c r="B65" s="6">
        <v>2E-3</v>
      </c>
      <c r="C65" s="35"/>
      <c r="D65" s="44"/>
      <c r="E65" s="45">
        <v>0</v>
      </c>
      <c r="F65" s="45"/>
      <c r="H65" s="18">
        <f t="shared" si="4"/>
        <v>0</v>
      </c>
      <c r="I65" s="18">
        <f t="shared" si="5"/>
        <v>0</v>
      </c>
      <c r="J65" s="21">
        <f t="shared" si="6"/>
        <v>0</v>
      </c>
    </row>
    <row r="66" spans="1:10" x14ac:dyDescent="0.25">
      <c r="A66" s="6" t="s">
        <v>49</v>
      </c>
      <c r="B66" s="6">
        <v>7.0000000000000001E-3</v>
      </c>
      <c r="C66" s="35"/>
      <c r="D66" s="44"/>
      <c r="E66" s="45">
        <v>0</v>
      </c>
      <c r="F66" s="45"/>
      <c r="H66" s="18">
        <f t="shared" si="4"/>
        <v>0</v>
      </c>
      <c r="I66" s="18">
        <f t="shared" si="5"/>
        <v>0</v>
      </c>
      <c r="J66" s="21">
        <f t="shared" si="6"/>
        <v>0</v>
      </c>
    </row>
    <row r="67" spans="1:10" x14ac:dyDescent="0.25">
      <c r="A67" s="6" t="s">
        <v>50</v>
      </c>
      <c r="B67" s="6">
        <v>0.109</v>
      </c>
      <c r="C67" s="35"/>
      <c r="D67" s="44"/>
      <c r="E67" s="45">
        <f t="shared" ref="E64:E70" si="7">(B67-0.0164)/0.0093</f>
        <v>9.9569892473118298</v>
      </c>
      <c r="F67" s="45"/>
      <c r="H67" s="18">
        <f t="shared" si="4"/>
        <v>9.9569892473118294E-6</v>
      </c>
      <c r="I67" s="18">
        <f t="shared" si="5"/>
        <v>1.7960875225806455E-7</v>
      </c>
      <c r="J67" s="21">
        <f t="shared" si="6"/>
        <v>0.17960875225806455</v>
      </c>
    </row>
    <row r="68" spans="1:10" x14ac:dyDescent="0.25">
      <c r="A68" s="6" t="s">
        <v>51</v>
      </c>
      <c r="B68" s="6">
        <v>0.36</v>
      </c>
      <c r="C68" s="35"/>
      <c r="D68" s="44"/>
      <c r="E68" s="45">
        <f t="shared" si="7"/>
        <v>36.946236559139784</v>
      </c>
      <c r="F68" s="45"/>
      <c r="H68" s="18">
        <f t="shared" si="4"/>
        <v>3.6946236559139785E-5</v>
      </c>
      <c r="I68" s="18">
        <f t="shared" si="5"/>
        <v>6.6645321032258063E-7</v>
      </c>
      <c r="J68" s="21">
        <f t="shared" si="6"/>
        <v>0.66645321032258065</v>
      </c>
    </row>
    <row r="69" spans="1:10" x14ac:dyDescent="0.25">
      <c r="A69" s="6" t="s">
        <v>52</v>
      </c>
      <c r="B69" s="6">
        <v>0.91300000000000003</v>
      </c>
      <c r="C69" s="35"/>
      <c r="D69" s="44"/>
      <c r="E69" s="45">
        <f t="shared" si="7"/>
        <v>96.408602150537646</v>
      </c>
      <c r="F69" s="45"/>
      <c r="H69" s="18">
        <f t="shared" si="4"/>
        <v>9.6408602150537646E-5</v>
      </c>
      <c r="I69" s="18">
        <f t="shared" si="5"/>
        <v>1.7390627135483875E-6</v>
      </c>
      <c r="J69" s="21">
        <f t="shared" si="6"/>
        <v>1.7390627135483876</v>
      </c>
    </row>
    <row r="70" spans="1:10" x14ac:dyDescent="0.25">
      <c r="A70" s="6" t="s">
        <v>53</v>
      </c>
      <c r="B70" s="6">
        <v>4.7E-2</v>
      </c>
      <c r="C70" s="35"/>
      <c r="D70" s="44"/>
      <c r="E70" s="45">
        <f t="shared" si="7"/>
        <v>3.2903225806451615</v>
      </c>
      <c r="F70" s="45"/>
      <c r="H70" s="18">
        <f t="shared" si="4"/>
        <v>3.2903225806451615E-6</v>
      </c>
      <c r="I70" s="18">
        <f t="shared" si="5"/>
        <v>5.9352352258064523E-8</v>
      </c>
      <c r="J70" s="21">
        <f t="shared" si="6"/>
        <v>5.9352352258064525E-2</v>
      </c>
    </row>
    <row r="96" spans="9:11" x14ac:dyDescent="0.25">
      <c r="I96" t="s">
        <v>25</v>
      </c>
      <c r="K96">
        <v>94.972999999999999</v>
      </c>
    </row>
    <row r="97" spans="1:12" x14ac:dyDescent="0.25">
      <c r="I97" t="s">
        <v>16</v>
      </c>
      <c r="K97">
        <v>1E-3</v>
      </c>
      <c r="L97" t="s">
        <v>14</v>
      </c>
    </row>
    <row r="98" spans="1:12" ht="15.75" thickBot="1" x14ac:dyDescent="0.3">
      <c r="L98" t="s">
        <v>17</v>
      </c>
    </row>
    <row r="99" spans="1:12" x14ac:dyDescent="0.25">
      <c r="I99" s="16" t="s">
        <v>22</v>
      </c>
      <c r="J99" s="20" t="s">
        <v>19</v>
      </c>
      <c r="K99" s="20" t="s">
        <v>20</v>
      </c>
    </row>
    <row r="100" spans="1:12" ht="15.75" thickBot="1" x14ac:dyDescent="0.3">
      <c r="A100" s="2" t="s">
        <v>0</v>
      </c>
      <c r="B100" s="2" t="s">
        <v>1</v>
      </c>
      <c r="C100" s="2" t="s">
        <v>2</v>
      </c>
      <c r="D100" s="2"/>
      <c r="E100" s="2" t="s">
        <v>13</v>
      </c>
      <c r="F100" s="2"/>
      <c r="G100" s="64"/>
      <c r="I100" s="17" t="s">
        <v>15</v>
      </c>
      <c r="J100" s="17" t="s">
        <v>18</v>
      </c>
      <c r="K100" s="17" t="s">
        <v>21</v>
      </c>
    </row>
    <row r="101" spans="1:12" x14ac:dyDescent="0.25">
      <c r="A101" s="3" t="s">
        <v>9</v>
      </c>
      <c r="B101" s="4">
        <v>1E-3</v>
      </c>
      <c r="C101" s="10">
        <v>0.5</v>
      </c>
      <c r="D101" s="11"/>
      <c r="E101" s="54">
        <f>(B101+0.0049)/0.0204</f>
        <v>0.28921568627450978</v>
      </c>
      <c r="F101" s="55"/>
      <c r="I101" s="16">
        <f t="shared" ref="I101:I106" si="8">C101/1000000</f>
        <v>4.9999999999999998E-7</v>
      </c>
      <c r="J101" s="16">
        <f t="shared" ref="J101:J106" si="9">$K$96*I101</f>
        <v>4.74865E-5</v>
      </c>
      <c r="K101" s="23">
        <f>J101*1000</f>
        <v>4.7486500000000001E-2</v>
      </c>
    </row>
    <row r="102" spans="1:12" x14ac:dyDescent="0.25">
      <c r="A102" s="5" t="s">
        <v>10</v>
      </c>
      <c r="B102" s="6">
        <v>1.6E-2</v>
      </c>
      <c r="C102" s="12">
        <v>1</v>
      </c>
      <c r="D102" s="13"/>
      <c r="E102" s="45">
        <f t="shared" ref="E102:E106" si="10">(B102+0.0049)/0.0204</f>
        <v>1.0245098039215685</v>
      </c>
      <c r="F102" s="57"/>
      <c r="I102" s="18">
        <f t="shared" si="8"/>
        <v>9.9999999999999995E-7</v>
      </c>
      <c r="J102" s="18">
        <f t="shared" si="9"/>
        <v>9.4973E-5</v>
      </c>
      <c r="K102" s="21">
        <f t="shared" ref="K102:K106" si="11">J102*1000</f>
        <v>9.4973000000000002E-2</v>
      </c>
    </row>
    <row r="103" spans="1:12" x14ac:dyDescent="0.25">
      <c r="A103" s="5" t="s">
        <v>11</v>
      </c>
      <c r="B103" s="6">
        <v>8.8999999999999996E-2</v>
      </c>
      <c r="C103" s="12">
        <v>5</v>
      </c>
      <c r="D103" s="13"/>
      <c r="E103" s="45">
        <f t="shared" si="10"/>
        <v>4.6029411764705879</v>
      </c>
      <c r="F103" s="57"/>
      <c r="I103" s="18">
        <f t="shared" si="8"/>
        <v>5.0000000000000004E-6</v>
      </c>
      <c r="J103" s="18">
        <f t="shared" si="9"/>
        <v>4.7486500000000004E-4</v>
      </c>
      <c r="K103" s="21">
        <f t="shared" si="11"/>
        <v>0.47486500000000004</v>
      </c>
    </row>
    <row r="104" spans="1:12" x14ac:dyDescent="0.25">
      <c r="A104" s="5" t="s">
        <v>8</v>
      </c>
      <c r="B104" s="6">
        <v>0.217</v>
      </c>
      <c r="C104" s="12">
        <v>10</v>
      </c>
      <c r="D104" s="13"/>
      <c r="E104" s="45">
        <f t="shared" si="10"/>
        <v>10.877450980392155</v>
      </c>
      <c r="F104" s="57"/>
      <c r="I104" s="18">
        <f t="shared" si="8"/>
        <v>1.0000000000000001E-5</v>
      </c>
      <c r="J104" s="18">
        <f t="shared" si="9"/>
        <v>9.4973000000000008E-4</v>
      </c>
      <c r="K104" s="21">
        <f t="shared" si="11"/>
        <v>0.94973000000000007</v>
      </c>
    </row>
    <row r="105" spans="1:12" ht="15.75" thickBot="1" x14ac:dyDescent="0.3">
      <c r="A105" s="32" t="s">
        <v>12</v>
      </c>
      <c r="B105" s="2">
        <v>0.501</v>
      </c>
      <c r="C105" s="33">
        <v>25</v>
      </c>
      <c r="D105" s="34"/>
      <c r="E105" s="45">
        <f t="shared" si="10"/>
        <v>24.799019607843135</v>
      </c>
      <c r="F105" s="57"/>
      <c r="I105" s="19">
        <f t="shared" si="8"/>
        <v>2.5000000000000001E-5</v>
      </c>
      <c r="J105" s="19">
        <f t="shared" si="9"/>
        <v>2.374325E-3</v>
      </c>
      <c r="K105" s="22">
        <f t="shared" si="11"/>
        <v>2.3743250000000002</v>
      </c>
    </row>
    <row r="106" spans="1:12" s="24" customFormat="1" ht="15.75" thickBot="1" x14ac:dyDescent="0.3">
      <c r="A106" s="7" t="s">
        <v>3</v>
      </c>
      <c r="B106" s="8">
        <v>0.75900000000000001</v>
      </c>
      <c r="C106" s="14">
        <v>50</v>
      </c>
      <c r="D106" s="15"/>
      <c r="E106" s="60">
        <f t="shared" si="10"/>
        <v>37.446078431372548</v>
      </c>
      <c r="F106" s="61"/>
      <c r="I106" s="18">
        <f t="shared" si="8"/>
        <v>5.0000000000000002E-5</v>
      </c>
      <c r="J106" s="18">
        <f t="shared" si="9"/>
        <v>4.7486500000000001E-3</v>
      </c>
      <c r="K106" s="21">
        <f t="shared" si="11"/>
        <v>4.7486500000000005</v>
      </c>
    </row>
    <row r="107" spans="1:12" x14ac:dyDescent="0.25">
      <c r="A107" s="9" t="s">
        <v>46</v>
      </c>
      <c r="B107" s="9">
        <v>0</v>
      </c>
      <c r="C107" s="46"/>
      <c r="D107" s="58"/>
      <c r="E107" s="59">
        <f t="shared" ref="E107" si="12">(B107+0.0049)/0.0204</f>
        <v>0.24019607843137253</v>
      </c>
      <c r="F107" s="59"/>
      <c r="I107" s="18">
        <f>E107/1000000</f>
        <v>2.4019607843137255E-7</v>
      </c>
      <c r="J107" s="18">
        <f>$J$49*I107*$K$97</f>
        <v>4.3327673529411773E-9</v>
      </c>
      <c r="K107" s="21">
        <f>J107*1000000</f>
        <v>4.3327673529411775E-3</v>
      </c>
    </row>
    <row r="108" spans="1:12" x14ac:dyDescent="0.25">
      <c r="A108" s="6" t="s">
        <v>47</v>
      </c>
      <c r="B108" s="6">
        <v>0</v>
      </c>
      <c r="C108" s="35"/>
      <c r="D108" s="44"/>
      <c r="E108" s="45">
        <f t="shared" ref="E108:E114" si="13">(B108+0.0049)/0.0204</f>
        <v>0.24019607843137253</v>
      </c>
      <c r="F108" s="45"/>
      <c r="I108" s="18">
        <f t="shared" ref="I108:I114" si="14">E108/1000000</f>
        <v>2.4019607843137255E-7</v>
      </c>
      <c r="J108" s="18">
        <f t="shared" ref="J108:J114" si="15">$J$49*I108*$J$50</f>
        <v>4.3327673529411773E-9</v>
      </c>
      <c r="K108" s="21">
        <f>J108*1000000</f>
        <v>4.3327673529411775E-3</v>
      </c>
    </row>
    <row r="109" spans="1:12" x14ac:dyDescent="0.25">
      <c r="A109" s="6" t="s">
        <v>48</v>
      </c>
      <c r="B109" s="6">
        <v>0</v>
      </c>
      <c r="C109" s="35"/>
      <c r="D109" s="44"/>
      <c r="E109" s="45">
        <f t="shared" si="13"/>
        <v>0.24019607843137253</v>
      </c>
      <c r="F109" s="45"/>
      <c r="I109" s="18">
        <f t="shared" si="14"/>
        <v>2.4019607843137255E-7</v>
      </c>
      <c r="J109" s="18">
        <f t="shared" si="15"/>
        <v>4.3327673529411773E-9</v>
      </c>
      <c r="K109" s="21">
        <f t="shared" ref="K109:K114" si="16">J109*1000000</f>
        <v>4.3327673529411775E-3</v>
      </c>
    </row>
    <row r="110" spans="1:12" x14ac:dyDescent="0.25">
      <c r="A110" s="6" t="s">
        <v>49</v>
      </c>
      <c r="B110" s="6">
        <v>0</v>
      </c>
      <c r="C110" s="35"/>
      <c r="D110" s="44"/>
      <c r="E110" s="45">
        <f t="shared" si="13"/>
        <v>0.24019607843137253</v>
      </c>
      <c r="F110" s="45"/>
      <c r="I110" s="18">
        <f t="shared" si="14"/>
        <v>2.4019607843137255E-7</v>
      </c>
      <c r="J110" s="18">
        <f t="shared" si="15"/>
        <v>4.3327673529411773E-9</v>
      </c>
      <c r="K110" s="21">
        <f t="shared" si="16"/>
        <v>4.3327673529411775E-3</v>
      </c>
    </row>
    <row r="111" spans="1:12" x14ac:dyDescent="0.25">
      <c r="A111" s="6" t="s">
        <v>50</v>
      </c>
      <c r="B111" s="6">
        <v>1.4E-2</v>
      </c>
      <c r="C111" s="35"/>
      <c r="D111" s="44"/>
      <c r="E111" s="45">
        <f t="shared" si="13"/>
        <v>0.92647058823529405</v>
      </c>
      <c r="F111" s="45"/>
      <c r="I111" s="18">
        <f t="shared" si="14"/>
        <v>9.2647058823529408E-7</v>
      </c>
      <c r="J111" s="18">
        <f t="shared" si="15"/>
        <v>1.6712102647058825E-8</v>
      </c>
      <c r="K111" s="21">
        <f t="shared" si="16"/>
        <v>1.6712102647058826E-2</v>
      </c>
    </row>
    <row r="112" spans="1:12" x14ac:dyDescent="0.25">
      <c r="A112" s="6" t="s">
        <v>51</v>
      </c>
      <c r="B112" s="6">
        <v>8.9999999999999993E-3</v>
      </c>
      <c r="C112" s="35"/>
      <c r="D112" s="44"/>
      <c r="E112" s="45">
        <f t="shared" si="13"/>
        <v>0.68137254901960775</v>
      </c>
      <c r="F112" s="45"/>
      <c r="I112" s="18">
        <f t="shared" si="14"/>
        <v>6.8137254901960776E-7</v>
      </c>
      <c r="J112" s="18">
        <f t="shared" si="15"/>
        <v>1.2290911470588234E-8</v>
      </c>
      <c r="K112" s="21">
        <f t="shared" si="16"/>
        <v>1.2290911470588233E-2</v>
      </c>
    </row>
    <row r="113" spans="1:11" x14ac:dyDescent="0.25">
      <c r="A113" s="6" t="s">
        <v>52</v>
      </c>
      <c r="B113" s="6">
        <v>3.9E-2</v>
      </c>
      <c r="C113" s="35"/>
      <c r="D113" s="44"/>
      <c r="E113" s="45">
        <f t="shared" si="13"/>
        <v>2.1519607843137254</v>
      </c>
      <c r="F113" s="45"/>
      <c r="I113" s="18">
        <f t="shared" si="14"/>
        <v>2.1519607843137253E-6</v>
      </c>
      <c r="J113" s="18">
        <f t="shared" si="15"/>
        <v>3.8818058529411761E-8</v>
      </c>
      <c r="K113" s="21">
        <f t="shared" si="16"/>
        <v>3.881805852941176E-2</v>
      </c>
    </row>
    <row r="114" spans="1:11" x14ac:dyDescent="0.25">
      <c r="A114" s="6" t="s">
        <v>53</v>
      </c>
      <c r="B114" s="6">
        <v>6.0000000000000001E-3</v>
      </c>
      <c r="C114" s="35"/>
      <c r="D114" s="44"/>
      <c r="E114" s="45">
        <f t="shared" si="13"/>
        <v>0.53431372549019607</v>
      </c>
      <c r="F114" s="45"/>
      <c r="I114" s="18">
        <f t="shared" si="14"/>
        <v>5.3431372549019611E-7</v>
      </c>
      <c r="J114" s="18">
        <f t="shared" si="15"/>
        <v>9.6381967647058823E-9</v>
      </c>
      <c r="K114" s="21">
        <f t="shared" si="16"/>
        <v>9.6381967647058819E-3</v>
      </c>
    </row>
    <row r="118" spans="1:11" x14ac:dyDescent="0.25">
      <c r="A118" s="24"/>
      <c r="B118" s="24"/>
      <c r="C118" s="24"/>
      <c r="D118" s="24"/>
      <c r="E118" s="24"/>
      <c r="F118" s="24"/>
      <c r="G118" s="24"/>
      <c r="H118" s="24"/>
    </row>
    <row r="119" spans="1:11" x14ac:dyDescent="0.25">
      <c r="A119" s="24"/>
      <c r="B119" s="24"/>
      <c r="C119" s="24"/>
      <c r="D119" s="24"/>
      <c r="E119" s="24"/>
      <c r="F119" s="24"/>
      <c r="G119" s="24"/>
      <c r="H119" s="25"/>
    </row>
    <row r="120" spans="1:11" x14ac:dyDescent="0.25">
      <c r="A120" s="56" t="s">
        <v>27</v>
      </c>
      <c r="B120" s="56"/>
      <c r="C120" s="56"/>
      <c r="D120" s="56"/>
      <c r="E120" s="56"/>
      <c r="F120" s="56"/>
      <c r="G120" s="56"/>
      <c r="H120" s="56"/>
    </row>
    <row r="121" spans="1:11" x14ac:dyDescent="0.25">
      <c r="A121" s="24"/>
      <c r="B121" s="24"/>
      <c r="C121" s="24"/>
      <c r="D121" s="24"/>
      <c r="E121" s="24"/>
      <c r="F121" s="24"/>
      <c r="G121" s="24"/>
      <c r="H121" s="24"/>
    </row>
    <row r="122" spans="1:11" ht="15.75" thickBot="1" x14ac:dyDescent="0.3">
      <c r="A122" s="2" t="s">
        <v>0</v>
      </c>
      <c r="B122" s="2" t="s">
        <v>1</v>
      </c>
      <c r="C122" s="2" t="s">
        <v>2</v>
      </c>
      <c r="D122" s="2"/>
      <c r="E122" s="2" t="s">
        <v>28</v>
      </c>
      <c r="F122" s="2"/>
      <c r="G122" s="67"/>
      <c r="H122" s="24"/>
    </row>
    <row r="123" spans="1:11" s="24" customFormat="1" x14ac:dyDescent="0.25">
      <c r="A123" s="3" t="s">
        <v>56</v>
      </c>
      <c r="B123" s="4">
        <v>0</v>
      </c>
      <c r="C123" s="52">
        <v>2.5</v>
      </c>
      <c r="D123" s="53"/>
      <c r="E123" s="54">
        <v>0</v>
      </c>
      <c r="F123" s="55"/>
      <c r="G123" s="65"/>
    </row>
    <row r="124" spans="1:11" s="24" customFormat="1" x14ac:dyDescent="0.25">
      <c r="A124" s="32" t="s">
        <v>11</v>
      </c>
      <c r="B124" s="2">
        <v>1E-3</v>
      </c>
      <c r="C124" s="50">
        <v>5</v>
      </c>
      <c r="D124" s="51"/>
      <c r="E124" s="37">
        <f t="shared" ref="E124:E130" si="17">(B124+0.0067)/0.0019</f>
        <v>4.0526315789473681</v>
      </c>
      <c r="F124" s="39"/>
      <c r="G124" s="65"/>
    </row>
    <row r="125" spans="1:11" x14ac:dyDescent="0.25">
      <c r="A125" s="5" t="s">
        <v>8</v>
      </c>
      <c r="B125" s="6">
        <v>8.0000000000000002E-3</v>
      </c>
      <c r="C125" s="35">
        <v>10</v>
      </c>
      <c r="D125" s="36"/>
      <c r="E125" s="37">
        <f t="shared" si="17"/>
        <v>7.7368421052631584</v>
      </c>
      <c r="F125" s="39"/>
      <c r="G125" s="65"/>
      <c r="H125" s="24"/>
    </row>
    <row r="126" spans="1:11" s="24" customFormat="1" x14ac:dyDescent="0.25">
      <c r="A126" s="5" t="s">
        <v>12</v>
      </c>
      <c r="B126" s="6">
        <v>4.1000000000000002E-2</v>
      </c>
      <c r="C126" s="35">
        <v>25</v>
      </c>
      <c r="D126" s="36"/>
      <c r="E126" s="37">
        <f t="shared" si="17"/>
        <v>25.105263157894736</v>
      </c>
      <c r="F126" s="39"/>
      <c r="G126" s="65"/>
    </row>
    <row r="127" spans="1:11" x14ac:dyDescent="0.25">
      <c r="A127" s="5" t="s">
        <v>3</v>
      </c>
      <c r="B127" s="6">
        <v>8.3000000000000004E-2</v>
      </c>
      <c r="C127" s="35">
        <v>50</v>
      </c>
      <c r="D127" s="36"/>
      <c r="E127" s="37">
        <f t="shared" si="17"/>
        <v>47.210526315789473</v>
      </c>
      <c r="F127" s="39"/>
      <c r="G127" s="65"/>
      <c r="H127" s="24"/>
    </row>
    <row r="128" spans="1:11" x14ac:dyDescent="0.25">
      <c r="A128" s="5" t="s">
        <v>4</v>
      </c>
      <c r="B128" s="6">
        <v>0.17499999999999999</v>
      </c>
      <c r="C128" s="35">
        <v>100</v>
      </c>
      <c r="D128" s="36"/>
      <c r="E128" s="37">
        <f t="shared" si="17"/>
        <v>95.631578947368425</v>
      </c>
      <c r="F128" s="39"/>
      <c r="G128" s="65"/>
      <c r="H128" s="24"/>
    </row>
    <row r="129" spans="1:8" x14ac:dyDescent="0.25">
      <c r="A129" s="5" t="s">
        <v>5</v>
      </c>
      <c r="B129" s="6">
        <v>0.375</v>
      </c>
      <c r="C129" s="35">
        <v>200</v>
      </c>
      <c r="D129" s="36"/>
      <c r="E129" s="37">
        <f t="shared" si="17"/>
        <v>200.89473684210526</v>
      </c>
      <c r="F129" s="39"/>
      <c r="G129" s="65"/>
      <c r="H129" s="24"/>
    </row>
    <row r="130" spans="1:8" ht="15.75" thickBot="1" x14ac:dyDescent="0.3">
      <c r="A130" s="7" t="s">
        <v>6</v>
      </c>
      <c r="B130" s="8">
        <v>0.91500000000000004</v>
      </c>
      <c r="C130" s="40">
        <v>500</v>
      </c>
      <c r="D130" s="41"/>
      <c r="E130" s="42">
        <f t="shared" si="17"/>
        <v>485.1052631578948</v>
      </c>
      <c r="F130" s="43"/>
      <c r="G130" s="65"/>
      <c r="H130" s="24"/>
    </row>
    <row r="131" spans="1:8" x14ac:dyDescent="0.25">
      <c r="A131" s="9" t="s">
        <v>46</v>
      </c>
      <c r="B131" s="9">
        <v>1.0999999999999999E-2</v>
      </c>
      <c r="C131" s="46"/>
      <c r="D131" s="47"/>
      <c r="E131" s="48">
        <f t="shared" ref="E131:E138" si="18">(B131+0.0067)/0.0019</f>
        <v>9.3157894736842106</v>
      </c>
      <c r="F131" s="49"/>
      <c r="G131" s="65"/>
      <c r="H131" s="24"/>
    </row>
    <row r="132" spans="1:8" x14ac:dyDescent="0.25">
      <c r="A132" s="6" t="s">
        <v>47</v>
      </c>
      <c r="B132" s="6">
        <v>0</v>
      </c>
      <c r="C132" s="35"/>
      <c r="D132" s="36"/>
      <c r="E132" s="37">
        <v>0</v>
      </c>
      <c r="F132" s="38"/>
      <c r="G132" s="65"/>
      <c r="H132" s="24"/>
    </row>
    <row r="133" spans="1:8" x14ac:dyDescent="0.25">
      <c r="A133" s="6" t="s">
        <v>48</v>
      </c>
      <c r="B133" s="6">
        <v>0</v>
      </c>
      <c r="C133" s="35"/>
      <c r="D133" s="36"/>
      <c r="E133" s="37">
        <v>0</v>
      </c>
      <c r="F133" s="38"/>
      <c r="G133" s="65"/>
      <c r="H133" s="24"/>
    </row>
    <row r="134" spans="1:8" x14ac:dyDescent="0.25">
      <c r="A134" s="6" t="s">
        <v>49</v>
      </c>
      <c r="B134" s="6">
        <v>0</v>
      </c>
      <c r="C134" s="35"/>
      <c r="D134" s="36"/>
      <c r="E134" s="37">
        <v>0</v>
      </c>
      <c r="F134" s="38"/>
      <c r="G134" s="65"/>
      <c r="H134" s="24"/>
    </row>
    <row r="135" spans="1:8" x14ac:dyDescent="0.25">
      <c r="A135" s="6" t="s">
        <v>50</v>
      </c>
      <c r="B135" s="6">
        <v>0</v>
      </c>
      <c r="C135" s="35"/>
      <c r="D135" s="36"/>
      <c r="E135" s="37">
        <v>0</v>
      </c>
      <c r="F135" s="38"/>
      <c r="G135" s="66"/>
      <c r="H135" s="24"/>
    </row>
    <row r="136" spans="1:8" x14ac:dyDescent="0.25">
      <c r="A136" s="6" t="s">
        <v>51</v>
      </c>
      <c r="B136" s="6">
        <v>1.7999999999999999E-2</v>
      </c>
      <c r="C136" s="35"/>
      <c r="D136" s="36"/>
      <c r="E136" s="37">
        <f t="shared" si="18"/>
        <v>13</v>
      </c>
      <c r="F136" s="38"/>
      <c r="G136" s="65"/>
      <c r="H136" s="24"/>
    </row>
    <row r="137" spans="1:8" x14ac:dyDescent="0.25">
      <c r="A137" s="6" t="s">
        <v>52</v>
      </c>
      <c r="B137" s="6">
        <v>2.8000000000000001E-2</v>
      </c>
      <c r="C137" s="35"/>
      <c r="D137" s="36"/>
      <c r="E137" s="37">
        <f t="shared" si="18"/>
        <v>18.263157894736842</v>
      </c>
      <c r="F137" s="38"/>
      <c r="G137" s="65"/>
      <c r="H137" s="24"/>
    </row>
    <row r="138" spans="1:8" x14ac:dyDescent="0.25">
      <c r="A138" s="6" t="s">
        <v>53</v>
      </c>
      <c r="B138" s="6">
        <v>2.7E-2</v>
      </c>
      <c r="C138" s="35"/>
      <c r="D138" s="36"/>
      <c r="E138" s="37">
        <f t="shared" si="18"/>
        <v>17.736842105263158</v>
      </c>
      <c r="F138" s="38"/>
      <c r="G138" s="65"/>
      <c r="H138" s="24"/>
    </row>
    <row r="139" spans="1:8" x14ac:dyDescent="0.25">
      <c r="A139" s="24"/>
      <c r="B139" s="24"/>
      <c r="C139" s="24"/>
      <c r="D139" s="24"/>
      <c r="E139" s="24"/>
      <c r="F139" s="24"/>
      <c r="G139" s="24"/>
      <c r="H139" s="24"/>
    </row>
    <row r="140" spans="1:8" x14ac:dyDescent="0.25">
      <c r="A140" s="24"/>
      <c r="B140" s="24"/>
      <c r="C140" s="24"/>
      <c r="D140" s="24"/>
      <c r="E140" s="24"/>
      <c r="F140" s="24"/>
      <c r="G140" s="24"/>
      <c r="H140" s="24"/>
    </row>
    <row r="141" spans="1:8" x14ac:dyDescent="0.25">
      <c r="A141" s="24"/>
      <c r="B141" s="24"/>
      <c r="C141" s="24"/>
      <c r="D141" s="24"/>
      <c r="E141" s="24"/>
      <c r="F141" s="24"/>
      <c r="G141" s="24"/>
      <c r="H141" s="24"/>
    </row>
    <row r="142" spans="1:8" x14ac:dyDescent="0.25">
      <c r="A142" s="24"/>
      <c r="B142" s="24"/>
      <c r="C142" s="24"/>
      <c r="D142" s="24"/>
      <c r="E142" s="24"/>
      <c r="F142" s="24"/>
      <c r="G142" s="24"/>
      <c r="H142" s="24"/>
    </row>
    <row r="143" spans="1:8" x14ac:dyDescent="0.25">
      <c r="A143" s="24"/>
      <c r="B143" s="24"/>
      <c r="C143" s="24"/>
      <c r="D143" s="24"/>
      <c r="E143" s="24"/>
      <c r="F143" s="24"/>
      <c r="G143" s="24"/>
      <c r="H143" s="24"/>
    </row>
    <row r="144" spans="1:8" x14ac:dyDescent="0.25">
      <c r="A144" s="24"/>
      <c r="B144" s="24"/>
      <c r="C144" s="24"/>
      <c r="D144" s="24"/>
      <c r="E144" s="24"/>
      <c r="F144" s="24"/>
      <c r="G144" s="24"/>
      <c r="H144" s="24"/>
    </row>
    <row r="145" spans="1:8" x14ac:dyDescent="0.25">
      <c r="A145" s="24"/>
      <c r="B145" s="24"/>
      <c r="C145" s="24"/>
      <c r="D145" s="24"/>
      <c r="E145" s="24"/>
      <c r="F145" s="24"/>
      <c r="G145" s="24"/>
      <c r="H145" s="24"/>
    </row>
    <row r="146" spans="1:8" x14ac:dyDescent="0.25">
      <c r="A146" s="24"/>
      <c r="B146" s="24"/>
      <c r="C146" s="24"/>
      <c r="D146" s="24"/>
      <c r="E146" s="24"/>
      <c r="F146" s="24"/>
      <c r="G146" s="24"/>
      <c r="H146" s="24"/>
    </row>
    <row r="147" spans="1:8" x14ac:dyDescent="0.25">
      <c r="A147" s="24"/>
      <c r="B147" s="24"/>
      <c r="C147" s="24"/>
      <c r="D147" s="24"/>
      <c r="E147" s="24"/>
      <c r="F147" s="24"/>
      <c r="G147" s="24"/>
      <c r="H147" s="24"/>
    </row>
    <row r="148" spans="1:8" x14ac:dyDescent="0.25">
      <c r="A148" s="24"/>
      <c r="B148" s="24"/>
      <c r="C148" s="24"/>
      <c r="D148" s="24"/>
      <c r="E148" s="24"/>
      <c r="F148" s="24"/>
      <c r="G148" s="24"/>
      <c r="H148" s="24"/>
    </row>
    <row r="149" spans="1:8" x14ac:dyDescent="0.25">
      <c r="A149" s="24"/>
      <c r="B149" s="24"/>
      <c r="C149" s="24"/>
      <c r="D149" s="24"/>
      <c r="E149" s="24"/>
      <c r="F149" s="24"/>
      <c r="G149" s="24"/>
      <c r="H149" s="24"/>
    </row>
    <row r="150" spans="1:8" x14ac:dyDescent="0.25">
      <c r="A150" s="24"/>
      <c r="B150" s="24"/>
      <c r="C150" s="24"/>
      <c r="D150" s="24"/>
      <c r="E150" s="24"/>
      <c r="F150" s="24"/>
      <c r="G150" s="24"/>
      <c r="H150" s="24"/>
    </row>
  </sheetData>
  <mergeCells count="88">
    <mergeCell ref="A1:H1"/>
    <mergeCell ref="C59:D59"/>
    <mergeCell ref="E59:F59"/>
    <mergeCell ref="C56:D56"/>
    <mergeCell ref="C55:D55"/>
    <mergeCell ref="E55:F55"/>
    <mergeCell ref="E56:F56"/>
    <mergeCell ref="E106:F106"/>
    <mergeCell ref="C57:D57"/>
    <mergeCell ref="E57:F57"/>
    <mergeCell ref="C58:D58"/>
    <mergeCell ref="E58:F58"/>
    <mergeCell ref="C66:D66"/>
    <mergeCell ref="E66:F66"/>
    <mergeCell ref="C60:D60"/>
    <mergeCell ref="E60:F60"/>
    <mergeCell ref="C61:D61"/>
    <mergeCell ref="E61:F61"/>
    <mergeCell ref="C62:D62"/>
    <mergeCell ref="E62:F62"/>
    <mergeCell ref="C67:D67"/>
    <mergeCell ref="E67:F67"/>
    <mergeCell ref="C68:D68"/>
    <mergeCell ref="E68:F68"/>
    <mergeCell ref="C63:D63"/>
    <mergeCell ref="E63:F63"/>
    <mergeCell ref="C64:D64"/>
    <mergeCell ref="E64:F64"/>
    <mergeCell ref="C65:D65"/>
    <mergeCell ref="E65:F65"/>
    <mergeCell ref="C109:D109"/>
    <mergeCell ref="E109:F109"/>
    <mergeCell ref="C110:D110"/>
    <mergeCell ref="E110:F110"/>
    <mergeCell ref="C111:D111"/>
    <mergeCell ref="E111:F111"/>
    <mergeCell ref="E127:F127"/>
    <mergeCell ref="E101:F101"/>
    <mergeCell ref="E102:F102"/>
    <mergeCell ref="C69:D69"/>
    <mergeCell ref="E69:F69"/>
    <mergeCell ref="C70:D70"/>
    <mergeCell ref="E70:F70"/>
    <mergeCell ref="C112:D112"/>
    <mergeCell ref="E112:F112"/>
    <mergeCell ref="E103:F103"/>
    <mergeCell ref="E104:F104"/>
    <mergeCell ref="E105:F105"/>
    <mergeCell ref="C107:D107"/>
    <mergeCell ref="E107:F107"/>
    <mergeCell ref="C108:D108"/>
    <mergeCell ref="E108:F108"/>
    <mergeCell ref="C113:D113"/>
    <mergeCell ref="E113:F113"/>
    <mergeCell ref="C114:D114"/>
    <mergeCell ref="E114:F114"/>
    <mergeCell ref="C131:D131"/>
    <mergeCell ref="E131:F131"/>
    <mergeCell ref="C126:D126"/>
    <mergeCell ref="E126:F126"/>
    <mergeCell ref="C124:D124"/>
    <mergeCell ref="E124:F124"/>
    <mergeCell ref="C123:D123"/>
    <mergeCell ref="E123:F123"/>
    <mergeCell ref="A120:H120"/>
    <mergeCell ref="C125:D125"/>
    <mergeCell ref="E125:F125"/>
    <mergeCell ref="C127:D127"/>
    <mergeCell ref="C128:D128"/>
    <mergeCell ref="E128:F128"/>
    <mergeCell ref="C129:D129"/>
    <mergeCell ref="E129:F129"/>
    <mergeCell ref="C130:D130"/>
    <mergeCell ref="E130:F130"/>
    <mergeCell ref="C137:D137"/>
    <mergeCell ref="E137:F137"/>
    <mergeCell ref="C138:D138"/>
    <mergeCell ref="E138:F138"/>
    <mergeCell ref="C132:D132"/>
    <mergeCell ref="E132:F132"/>
    <mergeCell ref="C133:D133"/>
    <mergeCell ref="E133:F133"/>
    <mergeCell ref="C134:D134"/>
    <mergeCell ref="E134:F134"/>
    <mergeCell ref="C135:D135"/>
    <mergeCell ref="E135:F135"/>
    <mergeCell ref="C136:D136"/>
    <mergeCell ref="E136:F136"/>
  </mergeCells>
  <pageMargins left="0.11458333333333333" right="1.0416666666666666E-2" top="0.78740157499999996" bottom="0.78740157499999996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26.06.2025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Stefan</dc:creator>
  <cp:lastModifiedBy>Stefan</cp:lastModifiedBy>
  <dcterms:created xsi:type="dcterms:W3CDTF">2024-08-27T08:21:08Z</dcterms:created>
  <dcterms:modified xsi:type="dcterms:W3CDTF">2025-07-02T09:37:18Z</dcterms:modified>
</cp:coreProperties>
</file>