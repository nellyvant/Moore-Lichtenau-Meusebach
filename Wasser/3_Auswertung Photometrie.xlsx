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Wasser\"/>
    </mc:Choice>
  </mc:AlternateContent>
  <xr:revisionPtr revIDLastSave="0" documentId="13_ncr:1_{575AF7B4-8B3E-4F48-B5EE-31147E37FD75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26.06.2025" sheetId="1" r:id="rId1"/>
    <sheet name="23.07.2025" sheetId="2" r:id="rId2"/>
    <sheet name="31.08.2025" sheetId="3" r:id="rId3"/>
    <sheet name="24.09.2025" sheetId="5" r:id="rId4"/>
    <sheet name="Ammonium" sheetId="7" r:id="rId5"/>
    <sheet name="Phosphat" sheetId="6" r:id="rId6"/>
    <sheet name="Nitrat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8" l="1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K141" i="5"/>
  <c r="J141" i="5"/>
  <c r="I141" i="5"/>
  <c r="J134" i="5"/>
  <c r="J135" i="5"/>
  <c r="J136" i="5"/>
  <c r="J137" i="5"/>
  <c r="J138" i="5"/>
  <c r="K138" i="5" s="1"/>
  <c r="J139" i="5"/>
  <c r="J140" i="5"/>
  <c r="J133" i="5"/>
  <c r="J127" i="5"/>
  <c r="J128" i="5"/>
  <c r="J129" i="5"/>
  <c r="J130" i="5"/>
  <c r="J131" i="5"/>
  <c r="K131" i="5" s="1"/>
  <c r="J132" i="5"/>
  <c r="J126" i="5"/>
  <c r="J125" i="5"/>
  <c r="J124" i="3"/>
  <c r="K124" i="3"/>
  <c r="I131" i="3"/>
  <c r="J131" i="3" s="1"/>
  <c r="K131" i="3" s="1"/>
  <c r="I130" i="3"/>
  <c r="J130" i="3" s="1"/>
  <c r="K130" i="3" s="1"/>
  <c r="I129" i="3"/>
  <c r="J129" i="3" s="1"/>
  <c r="K129" i="3" s="1"/>
  <c r="I128" i="3"/>
  <c r="J128" i="3" s="1"/>
  <c r="K128" i="3" s="1"/>
  <c r="I127" i="3"/>
  <c r="J127" i="3" s="1"/>
  <c r="K127" i="3" s="1"/>
  <c r="I126" i="3"/>
  <c r="J126" i="3" s="1"/>
  <c r="K126" i="3" s="1"/>
  <c r="I125" i="3"/>
  <c r="J125" i="3" s="1"/>
  <c r="K125" i="3" s="1"/>
  <c r="I124" i="3"/>
  <c r="J138" i="2"/>
  <c r="K138" i="2" s="1"/>
  <c r="I138" i="2"/>
  <c r="J137" i="2"/>
  <c r="K137" i="2" s="1"/>
  <c r="I137" i="2"/>
  <c r="J136" i="2"/>
  <c r="K136" i="2" s="1"/>
  <c r="I136" i="2"/>
  <c r="I135" i="2"/>
  <c r="J135" i="2" s="1"/>
  <c r="K135" i="2" s="1"/>
  <c r="K134" i="2"/>
  <c r="J134" i="2"/>
  <c r="I134" i="2"/>
  <c r="I133" i="2"/>
  <c r="J133" i="2" s="1"/>
  <c r="K133" i="2" s="1"/>
  <c r="I132" i="2"/>
  <c r="J132" i="2" s="1"/>
  <c r="K132" i="2" s="1"/>
  <c r="I131" i="2"/>
  <c r="J131" i="2" s="1"/>
  <c r="K131" i="2" s="1"/>
  <c r="J130" i="2"/>
  <c r="K130" i="2" s="1"/>
  <c r="I130" i="2"/>
  <c r="J129" i="2"/>
  <c r="K129" i="2" s="1"/>
  <c r="I129" i="2"/>
  <c r="J128" i="2"/>
  <c r="K128" i="2" s="1"/>
  <c r="I128" i="2"/>
  <c r="I127" i="2"/>
  <c r="J127" i="2" s="1"/>
  <c r="K127" i="2" s="1"/>
  <c r="K126" i="2"/>
  <c r="J126" i="2"/>
  <c r="I126" i="2"/>
  <c r="I125" i="2"/>
  <c r="J125" i="2" s="1"/>
  <c r="K125" i="2" s="1"/>
  <c r="I124" i="2"/>
  <c r="J124" i="2" s="1"/>
  <c r="K124" i="2" s="1"/>
  <c r="I123" i="2"/>
  <c r="J123" i="2" s="1"/>
  <c r="K123" i="2" s="1"/>
  <c r="I140" i="5"/>
  <c r="K140" i="5" s="1"/>
  <c r="I139" i="5"/>
  <c r="K139" i="5" s="1"/>
  <c r="I138" i="5"/>
  <c r="K137" i="5"/>
  <c r="I137" i="5"/>
  <c r="I136" i="5"/>
  <c r="K136" i="5" s="1"/>
  <c r="K135" i="5"/>
  <c r="I135" i="5"/>
  <c r="I134" i="5"/>
  <c r="K134" i="5" s="1"/>
  <c r="I133" i="5"/>
  <c r="I132" i="5"/>
  <c r="I131" i="5"/>
  <c r="K130" i="5"/>
  <c r="I130" i="5"/>
  <c r="K129" i="5"/>
  <c r="I129" i="5"/>
  <c r="I128" i="5"/>
  <c r="K128" i="5" s="1"/>
  <c r="K127" i="5"/>
  <c r="I127" i="5"/>
  <c r="I126" i="5"/>
  <c r="I125" i="5"/>
  <c r="J132" i="1"/>
  <c r="J133" i="1"/>
  <c r="K133" i="1" s="1"/>
  <c r="J134" i="1"/>
  <c r="J135" i="1"/>
  <c r="K135" i="1" s="1"/>
  <c r="J136" i="1"/>
  <c r="J137" i="1"/>
  <c r="K137" i="1" s="1"/>
  <c r="J138" i="1"/>
  <c r="J131" i="1"/>
  <c r="I131" i="1"/>
  <c r="K131" i="1"/>
  <c r="K134" i="1"/>
  <c r="K136" i="1"/>
  <c r="K138" i="1"/>
  <c r="I133" i="1"/>
  <c r="I134" i="1"/>
  <c r="I135" i="1"/>
  <c r="I136" i="1"/>
  <c r="I137" i="1"/>
  <c r="I138" i="1"/>
  <c r="I132" i="1"/>
  <c r="K106" i="1"/>
  <c r="J106" i="1"/>
  <c r="I106" i="1"/>
  <c r="J125" i="1"/>
  <c r="J126" i="1"/>
  <c r="K126" i="1" s="1"/>
  <c r="J127" i="1"/>
  <c r="K127" i="1" s="1"/>
  <c r="J128" i="1"/>
  <c r="J129" i="1"/>
  <c r="K129" i="1" s="1"/>
  <c r="J130" i="1"/>
  <c r="J124" i="1"/>
  <c r="K124" i="1" s="1"/>
  <c r="K130" i="1"/>
  <c r="J123" i="1"/>
  <c r="K123" i="1" s="1"/>
  <c r="K128" i="1"/>
  <c r="I127" i="1"/>
  <c r="I128" i="1"/>
  <c r="I129" i="1"/>
  <c r="I130" i="1"/>
  <c r="K132" i="1"/>
  <c r="I126" i="1"/>
  <c r="I125" i="1"/>
  <c r="I124" i="1"/>
  <c r="I123" i="1"/>
  <c r="K117" i="5"/>
  <c r="J117" i="5"/>
  <c r="I117" i="5"/>
  <c r="J73" i="5"/>
  <c r="I73" i="5"/>
  <c r="H73" i="5"/>
  <c r="E110" i="5"/>
  <c r="I110" i="5" s="1"/>
  <c r="J110" i="5" s="1"/>
  <c r="K110" i="5" s="1"/>
  <c r="E111" i="5"/>
  <c r="I111" i="5" s="1"/>
  <c r="J111" i="5" s="1"/>
  <c r="K111" i="5" s="1"/>
  <c r="E112" i="5"/>
  <c r="I112" i="5" s="1"/>
  <c r="J112" i="5" s="1"/>
  <c r="K112" i="5" s="1"/>
  <c r="E113" i="5"/>
  <c r="E114" i="5"/>
  <c r="E115" i="5"/>
  <c r="E116" i="5"/>
  <c r="E117" i="5"/>
  <c r="E109" i="5"/>
  <c r="E104" i="5"/>
  <c r="E105" i="5"/>
  <c r="E106" i="5"/>
  <c r="E107" i="5"/>
  <c r="E108" i="5"/>
  <c r="E103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26" i="5"/>
  <c r="E65" i="5"/>
  <c r="H65" i="5" s="1"/>
  <c r="I65" i="5" s="1"/>
  <c r="J65" i="5" s="1"/>
  <c r="E66" i="5"/>
  <c r="H66" i="5" s="1"/>
  <c r="I66" i="5" s="1"/>
  <c r="J66" i="5" s="1"/>
  <c r="E67" i="5"/>
  <c r="E68" i="5"/>
  <c r="E69" i="5"/>
  <c r="E70" i="5"/>
  <c r="E71" i="5"/>
  <c r="E72" i="5"/>
  <c r="E73" i="5"/>
  <c r="E59" i="5"/>
  <c r="E60" i="5"/>
  <c r="E61" i="5"/>
  <c r="E62" i="5"/>
  <c r="E63" i="5"/>
  <c r="E64" i="5"/>
  <c r="E58" i="5"/>
  <c r="I116" i="5"/>
  <c r="J116" i="5" s="1"/>
  <c r="K116" i="5" s="1"/>
  <c r="I115" i="5"/>
  <c r="J115" i="5" s="1"/>
  <c r="K115" i="5" s="1"/>
  <c r="I114" i="5"/>
  <c r="J114" i="5" s="1"/>
  <c r="K114" i="5" s="1"/>
  <c r="I113" i="5"/>
  <c r="J113" i="5" s="1"/>
  <c r="K113" i="5" s="1"/>
  <c r="I109" i="5"/>
  <c r="J109" i="5" s="1"/>
  <c r="K109" i="5" s="1"/>
  <c r="I108" i="5"/>
  <c r="J108" i="5" s="1"/>
  <c r="K108" i="5" s="1"/>
  <c r="I107" i="5"/>
  <c r="J107" i="5" s="1"/>
  <c r="K107" i="5" s="1"/>
  <c r="I106" i="5"/>
  <c r="J106" i="5" s="1"/>
  <c r="K106" i="5" s="1"/>
  <c r="I105" i="5"/>
  <c r="J105" i="5" s="1"/>
  <c r="K105" i="5" s="1"/>
  <c r="I104" i="5"/>
  <c r="J104" i="5" s="1"/>
  <c r="K104" i="5" s="1"/>
  <c r="J103" i="5"/>
  <c r="K103" i="5" s="1"/>
  <c r="I103" i="5"/>
  <c r="H72" i="5"/>
  <c r="I72" i="5" s="1"/>
  <c r="J72" i="5" s="1"/>
  <c r="H71" i="5"/>
  <c r="I71" i="5" s="1"/>
  <c r="J71" i="5" s="1"/>
  <c r="H70" i="5"/>
  <c r="I70" i="5" s="1"/>
  <c r="J70" i="5" s="1"/>
  <c r="H69" i="5"/>
  <c r="I69" i="5" s="1"/>
  <c r="J69" i="5" s="1"/>
  <c r="H68" i="5"/>
  <c r="I68" i="5" s="1"/>
  <c r="J68" i="5" s="1"/>
  <c r="H67" i="5"/>
  <c r="I67" i="5" s="1"/>
  <c r="J67" i="5" s="1"/>
  <c r="H64" i="5"/>
  <c r="I64" i="5" s="1"/>
  <c r="J64" i="5" s="1"/>
  <c r="H63" i="5"/>
  <c r="I63" i="5" s="1"/>
  <c r="J63" i="5" s="1"/>
  <c r="H62" i="5"/>
  <c r="I62" i="5" s="1"/>
  <c r="J62" i="5" s="1"/>
  <c r="H60" i="5"/>
  <c r="I60" i="5" s="1"/>
  <c r="J60" i="5" s="1"/>
  <c r="H59" i="5"/>
  <c r="I59" i="5" s="1"/>
  <c r="J59" i="5" s="1"/>
  <c r="K133" i="5" l="1"/>
  <c r="K132" i="5"/>
  <c r="K126" i="5"/>
  <c r="K125" i="5"/>
  <c r="K125" i="1"/>
  <c r="E134" i="3"/>
  <c r="I134" i="3" s="1"/>
  <c r="J134" i="3" s="1"/>
  <c r="K134" i="3" s="1"/>
  <c r="E135" i="3"/>
  <c r="I135" i="3" s="1"/>
  <c r="J135" i="3" s="1"/>
  <c r="K135" i="3" s="1"/>
  <c r="E136" i="3"/>
  <c r="I136" i="3" s="1"/>
  <c r="J136" i="3" s="1"/>
  <c r="K136" i="3" s="1"/>
  <c r="E137" i="3"/>
  <c r="I137" i="3" s="1"/>
  <c r="J137" i="3" s="1"/>
  <c r="K137" i="3" s="1"/>
  <c r="E138" i="3"/>
  <c r="I138" i="3" s="1"/>
  <c r="J138" i="3" s="1"/>
  <c r="K138" i="3" s="1"/>
  <c r="E139" i="3"/>
  <c r="I139" i="3" s="1"/>
  <c r="J139" i="3" s="1"/>
  <c r="K139" i="3" s="1"/>
  <c r="E133" i="3"/>
  <c r="I133" i="3" s="1"/>
  <c r="E132" i="3"/>
  <c r="I132" i="3" s="1"/>
  <c r="J132" i="3" s="1"/>
  <c r="K132" i="3" s="1"/>
  <c r="E126" i="3"/>
  <c r="E127" i="3"/>
  <c r="E128" i="3"/>
  <c r="E129" i="3"/>
  <c r="E130" i="3"/>
  <c r="E131" i="3"/>
  <c r="E125" i="3"/>
  <c r="J133" i="3" l="1"/>
  <c r="K133" i="3" s="1"/>
  <c r="E108" i="3"/>
  <c r="E109" i="3"/>
  <c r="E110" i="3"/>
  <c r="E111" i="3"/>
  <c r="E112" i="3"/>
  <c r="E113" i="3"/>
  <c r="E114" i="3"/>
  <c r="E115" i="3"/>
  <c r="E103" i="3"/>
  <c r="E104" i="3"/>
  <c r="E105" i="3"/>
  <c r="E106" i="3"/>
  <c r="E107" i="3"/>
  <c r="E102" i="3"/>
  <c r="E65" i="3"/>
  <c r="E66" i="3"/>
  <c r="E67" i="3"/>
  <c r="E68" i="3"/>
  <c r="E69" i="3"/>
  <c r="E70" i="3"/>
  <c r="E71" i="3"/>
  <c r="E64" i="3"/>
  <c r="E63" i="3"/>
  <c r="E59" i="3"/>
  <c r="E60" i="3"/>
  <c r="E61" i="3"/>
  <c r="E62" i="3"/>
  <c r="E58" i="3"/>
  <c r="E57" i="3"/>
  <c r="I115" i="3" l="1"/>
  <c r="J115" i="3" s="1"/>
  <c r="K115" i="3" s="1"/>
  <c r="I114" i="3"/>
  <c r="J114" i="3" s="1"/>
  <c r="K114" i="3" s="1"/>
  <c r="I113" i="3"/>
  <c r="J113" i="3" s="1"/>
  <c r="K113" i="3" s="1"/>
  <c r="I112" i="3"/>
  <c r="J112" i="3" s="1"/>
  <c r="K112" i="3" s="1"/>
  <c r="I111" i="3"/>
  <c r="J111" i="3" s="1"/>
  <c r="K111" i="3" s="1"/>
  <c r="I110" i="3"/>
  <c r="J110" i="3" s="1"/>
  <c r="K110" i="3" s="1"/>
  <c r="I109" i="3"/>
  <c r="J109" i="3" s="1"/>
  <c r="K109" i="3" s="1"/>
  <c r="I108" i="3"/>
  <c r="J108" i="3" s="1"/>
  <c r="K108" i="3" s="1"/>
  <c r="I107" i="3"/>
  <c r="J107" i="3" s="1"/>
  <c r="K107" i="3" s="1"/>
  <c r="I106" i="3"/>
  <c r="J106" i="3" s="1"/>
  <c r="K106" i="3" s="1"/>
  <c r="I105" i="3"/>
  <c r="J105" i="3" s="1"/>
  <c r="K105" i="3" s="1"/>
  <c r="I104" i="3"/>
  <c r="J104" i="3" s="1"/>
  <c r="K104" i="3" s="1"/>
  <c r="I103" i="3"/>
  <c r="J103" i="3" s="1"/>
  <c r="K103" i="3" s="1"/>
  <c r="I102" i="3"/>
  <c r="J102" i="3" s="1"/>
  <c r="K102" i="3" s="1"/>
  <c r="H71" i="3"/>
  <c r="I71" i="3" s="1"/>
  <c r="J71" i="3" s="1"/>
  <c r="H70" i="3"/>
  <c r="I70" i="3" s="1"/>
  <c r="J70" i="3" s="1"/>
  <c r="H69" i="3"/>
  <c r="I69" i="3" s="1"/>
  <c r="J69" i="3" s="1"/>
  <c r="H68" i="3"/>
  <c r="I68" i="3" s="1"/>
  <c r="J68" i="3" s="1"/>
  <c r="H67" i="3"/>
  <c r="I67" i="3" s="1"/>
  <c r="J67" i="3" s="1"/>
  <c r="H66" i="3"/>
  <c r="I66" i="3" s="1"/>
  <c r="J66" i="3" s="1"/>
  <c r="H65" i="3"/>
  <c r="I65" i="3" s="1"/>
  <c r="J65" i="3" s="1"/>
  <c r="H64" i="3"/>
  <c r="I64" i="3" s="1"/>
  <c r="J64" i="3" s="1"/>
  <c r="H63" i="3"/>
  <c r="I63" i="3" s="1"/>
  <c r="J63" i="3" s="1"/>
  <c r="I62" i="3"/>
  <c r="J62" i="3" s="1"/>
  <c r="H62" i="3"/>
  <c r="H61" i="3"/>
  <c r="I61" i="3" s="1"/>
  <c r="J61" i="3" s="1"/>
  <c r="H59" i="3"/>
  <c r="I59" i="3" s="1"/>
  <c r="J59" i="3" s="1"/>
  <c r="H58" i="3"/>
  <c r="I58" i="3" s="1"/>
  <c r="J58" i="3" s="1"/>
  <c r="E138" i="2" l="1"/>
  <c r="E137" i="2"/>
  <c r="E136" i="2"/>
  <c r="E131" i="2"/>
  <c r="E130" i="2"/>
  <c r="E129" i="2"/>
  <c r="E128" i="2"/>
  <c r="E127" i="2"/>
  <c r="E126" i="2"/>
  <c r="E125" i="2"/>
  <c r="E124" i="2"/>
  <c r="E114" i="2"/>
  <c r="I114" i="2" s="1"/>
  <c r="J114" i="2" s="1"/>
  <c r="K114" i="2" s="1"/>
  <c r="E113" i="2"/>
  <c r="I113" i="2" s="1"/>
  <c r="J113" i="2" s="1"/>
  <c r="K113" i="2" s="1"/>
  <c r="E112" i="2"/>
  <c r="I112" i="2" s="1"/>
  <c r="J112" i="2" s="1"/>
  <c r="K112" i="2" s="1"/>
  <c r="E111" i="2"/>
  <c r="I111" i="2" s="1"/>
  <c r="J111" i="2" s="1"/>
  <c r="K111" i="2" s="1"/>
  <c r="E110" i="2"/>
  <c r="I110" i="2" s="1"/>
  <c r="J110" i="2" s="1"/>
  <c r="K110" i="2" s="1"/>
  <c r="E109" i="2"/>
  <c r="I109" i="2" s="1"/>
  <c r="J109" i="2" s="1"/>
  <c r="K109" i="2" s="1"/>
  <c r="E108" i="2"/>
  <c r="I108" i="2" s="1"/>
  <c r="J108" i="2" s="1"/>
  <c r="K108" i="2" s="1"/>
  <c r="E107" i="2"/>
  <c r="I107" i="2" s="1"/>
  <c r="J107" i="2" s="1"/>
  <c r="K107" i="2" s="1"/>
  <c r="J106" i="2"/>
  <c r="K106" i="2" s="1"/>
  <c r="I106" i="2"/>
  <c r="E106" i="2"/>
  <c r="I105" i="2"/>
  <c r="J105" i="2" s="1"/>
  <c r="K105" i="2" s="1"/>
  <c r="E105" i="2"/>
  <c r="I104" i="2"/>
  <c r="J104" i="2" s="1"/>
  <c r="K104" i="2" s="1"/>
  <c r="E104" i="2"/>
  <c r="I103" i="2"/>
  <c r="J103" i="2" s="1"/>
  <c r="K103" i="2" s="1"/>
  <c r="E103" i="2"/>
  <c r="I102" i="2"/>
  <c r="J102" i="2" s="1"/>
  <c r="K102" i="2" s="1"/>
  <c r="E102" i="2"/>
  <c r="I101" i="2"/>
  <c r="J101" i="2" s="1"/>
  <c r="K101" i="2" s="1"/>
  <c r="E101" i="2"/>
  <c r="E70" i="2"/>
  <c r="H70" i="2" s="1"/>
  <c r="I70" i="2" s="1"/>
  <c r="J70" i="2" s="1"/>
  <c r="E69" i="2"/>
  <c r="H69" i="2" s="1"/>
  <c r="I69" i="2" s="1"/>
  <c r="J69" i="2" s="1"/>
  <c r="E68" i="2"/>
  <c r="H68" i="2" s="1"/>
  <c r="I68" i="2" s="1"/>
  <c r="J68" i="2" s="1"/>
  <c r="E67" i="2"/>
  <c r="H67" i="2" s="1"/>
  <c r="I67" i="2" s="1"/>
  <c r="J67" i="2" s="1"/>
  <c r="H66" i="2"/>
  <c r="I66" i="2" s="1"/>
  <c r="J66" i="2" s="1"/>
  <c r="H65" i="2"/>
  <c r="I65" i="2" s="1"/>
  <c r="J65" i="2" s="1"/>
  <c r="H64" i="2"/>
  <c r="I64" i="2" s="1"/>
  <c r="J64" i="2" s="1"/>
  <c r="H63" i="2"/>
  <c r="I63" i="2" s="1"/>
  <c r="J63" i="2" s="1"/>
  <c r="H62" i="2"/>
  <c r="I62" i="2" s="1"/>
  <c r="J62" i="2" s="1"/>
  <c r="E62" i="2"/>
  <c r="H61" i="2"/>
  <c r="I61" i="2" s="1"/>
  <c r="J61" i="2" s="1"/>
  <c r="E61" i="2"/>
  <c r="H60" i="2"/>
  <c r="I60" i="2" s="1"/>
  <c r="J60" i="2" s="1"/>
  <c r="E60" i="2"/>
  <c r="E59" i="2"/>
  <c r="H58" i="2"/>
  <c r="I58" i="2" s="1"/>
  <c r="J58" i="2" s="1"/>
  <c r="E58" i="2"/>
  <c r="H57" i="2"/>
  <c r="I57" i="2" s="1"/>
  <c r="J57" i="2" s="1"/>
  <c r="E57" i="2"/>
  <c r="E56" i="2"/>
  <c r="E131" i="1" l="1"/>
  <c r="E136" i="1"/>
  <c r="E137" i="1"/>
  <c r="E138" i="1"/>
  <c r="E130" i="1"/>
  <c r="E129" i="1"/>
  <c r="E128" i="1"/>
  <c r="E127" i="1"/>
  <c r="E126" i="1"/>
  <c r="E125" i="1"/>
  <c r="E124" i="1"/>
  <c r="E108" i="1" l="1"/>
  <c r="E109" i="1"/>
  <c r="E110" i="1"/>
  <c r="E111" i="1"/>
  <c r="E112" i="1"/>
  <c r="E113" i="1"/>
  <c r="E114" i="1"/>
  <c r="E107" i="1"/>
  <c r="E106" i="1"/>
  <c r="E105" i="1"/>
  <c r="E104" i="1"/>
  <c r="E103" i="1"/>
  <c r="E102" i="1"/>
  <c r="E101" i="1"/>
  <c r="H58" i="1"/>
  <c r="H57" i="1"/>
  <c r="I57" i="1" s="1"/>
  <c r="J57" i="1" s="1"/>
  <c r="H64" i="1"/>
  <c r="H65" i="1"/>
  <c r="H66" i="1"/>
  <c r="E67" i="1"/>
  <c r="H67" i="1" s="1"/>
  <c r="E68" i="1"/>
  <c r="H68" i="1" s="1"/>
  <c r="E69" i="1"/>
  <c r="H69" i="1" s="1"/>
  <c r="E70" i="1"/>
  <c r="H70" i="1" s="1"/>
  <c r="H63" i="1"/>
  <c r="E56" i="1"/>
  <c r="E62" i="1"/>
  <c r="E61" i="1"/>
  <c r="E60" i="1"/>
  <c r="E59" i="1"/>
  <c r="E58" i="1"/>
  <c r="E57" i="1"/>
  <c r="I101" i="1" l="1"/>
  <c r="J101" i="1" s="1"/>
  <c r="K101" i="1" s="1"/>
  <c r="I105" i="1"/>
  <c r="J105" i="1" s="1"/>
  <c r="K105" i="1" s="1"/>
  <c r="I104" i="1"/>
  <c r="J104" i="1" s="1"/>
  <c r="K104" i="1" s="1"/>
  <c r="I103" i="1"/>
  <c r="J103" i="1" s="1"/>
  <c r="K103" i="1" s="1"/>
  <c r="I102" i="1"/>
  <c r="J102" i="1" s="1"/>
  <c r="K102" i="1" s="1"/>
  <c r="H62" i="1"/>
  <c r="I62" i="1" s="1"/>
  <c r="J62" i="1" s="1"/>
  <c r="H61" i="1"/>
  <c r="I61" i="1" s="1"/>
  <c r="J61" i="1" s="1"/>
  <c r="H60" i="1"/>
  <c r="I60" i="1" s="1"/>
  <c r="J60" i="1" s="1"/>
  <c r="I58" i="1"/>
  <c r="J58" i="1" s="1"/>
  <c r="I114" i="1" l="1"/>
  <c r="J114" i="1" s="1"/>
  <c r="K114" i="1" s="1"/>
  <c r="I113" i="1"/>
  <c r="J113" i="1" s="1"/>
  <c r="K113" i="1" s="1"/>
  <c r="I112" i="1"/>
  <c r="J112" i="1" s="1"/>
  <c r="K112" i="1" s="1"/>
  <c r="I111" i="1"/>
  <c r="I110" i="1"/>
  <c r="I109" i="1"/>
  <c r="I108" i="1"/>
  <c r="I107" i="1"/>
  <c r="J107" i="1" s="1"/>
  <c r="K107" i="1" s="1"/>
  <c r="I70" i="1"/>
  <c r="J70" i="1" s="1"/>
  <c r="I66" i="1"/>
  <c r="J66" i="1" s="1"/>
  <c r="I64" i="1"/>
  <c r="J64" i="1" s="1"/>
  <c r="I63" i="1"/>
  <c r="J63" i="1" s="1"/>
  <c r="J109" i="1" l="1"/>
  <c r="K109" i="1" s="1"/>
  <c r="J110" i="1"/>
  <c r="K110" i="1" s="1"/>
  <c r="J108" i="1"/>
  <c r="K108" i="1" s="1"/>
  <c r="J111" i="1"/>
  <c r="K111" i="1" s="1"/>
  <c r="I68" i="1"/>
  <c r="J68" i="1" s="1"/>
  <c r="I65" i="1"/>
  <c r="J65" i="1" s="1"/>
  <c r="I69" i="1"/>
  <c r="J69" i="1" s="1"/>
  <c r="I67" i="1"/>
  <c r="J67" i="1" s="1"/>
</calcChain>
</file>

<file path=xl/sharedStrings.xml><?xml version="1.0" encoding="utf-8"?>
<sst xmlns="http://schemas.openxmlformats.org/spreadsheetml/2006/main" count="606" uniqueCount="114">
  <si>
    <t>sample</t>
  </si>
  <si>
    <t>extinktion</t>
  </si>
  <si>
    <t>concentration in µM</t>
  </si>
  <si>
    <t>stand. 50µM</t>
  </si>
  <si>
    <t>stand. 100µM</t>
  </si>
  <si>
    <t>stand. 200µM</t>
  </si>
  <si>
    <t>stand. 500µM</t>
  </si>
  <si>
    <t>standard 5µM</t>
  </si>
  <si>
    <t>stand. 10µM</t>
  </si>
  <si>
    <t>standard 0,5µM</t>
  </si>
  <si>
    <t>stand. 1µM</t>
  </si>
  <si>
    <t>stand. 5µM</t>
  </si>
  <si>
    <t>stand. 25µM</t>
  </si>
  <si>
    <t>concentration calculated [µM]</t>
  </si>
  <si>
    <t>g/mol</t>
  </si>
  <si>
    <t>µM in M</t>
  </si>
  <si>
    <t>Volumen Probe in L</t>
  </si>
  <si>
    <t>L</t>
  </si>
  <si>
    <t>[g/ml]</t>
  </si>
  <si>
    <t>Masse</t>
  </si>
  <si>
    <t>Masse korrigiert</t>
  </si>
  <si>
    <t>[mg/L]</t>
  </si>
  <si>
    <t>concentration</t>
  </si>
  <si>
    <t>[m=M*c*V]</t>
  </si>
  <si>
    <t>Molgewicht  NH4</t>
  </si>
  <si>
    <t>Molgewicht  PO3</t>
  </si>
  <si>
    <t>Masterarbeit Nele Herzig, Alexandra Kornhaß / water chemistry</t>
  </si>
  <si>
    <t>Nitratmessung salicylate methode</t>
  </si>
  <si>
    <t>concentration calculated</t>
  </si>
  <si>
    <t>geplante Probenahmetermine : 26.06.25 / 30.07.25 / 28.08.25 / 29.09.25</t>
  </si>
  <si>
    <t>&gt; übergabe Proben und Messequiptment von Nele Herzig an Martina Hermann</t>
  </si>
  <si>
    <t>&gt; Lagerung der Proben bei 4°C im Kühlschrank</t>
  </si>
  <si>
    <t>&gt; 01.07.25 Filterung der Proben durch 0,45µm Spritzenvorsatzfilter (Entfernung von Schwebstoffen)</t>
  </si>
  <si>
    <t xml:space="preserve">&gt; 01.07.25 Photometrische Messung </t>
  </si>
  <si>
    <t>standard 1µM</t>
  </si>
  <si>
    <t>standard 2,5µM</t>
  </si>
  <si>
    <t>standard 25µM</t>
  </si>
  <si>
    <t>&gt; Nummerierung der Proben wie folgt:</t>
  </si>
  <si>
    <t>1=</t>
  </si>
  <si>
    <t>2=</t>
  </si>
  <si>
    <t>3=</t>
  </si>
  <si>
    <t>4=</t>
  </si>
  <si>
    <t>5=</t>
  </si>
  <si>
    <t>6=</t>
  </si>
  <si>
    <t>7=</t>
  </si>
  <si>
    <t>8=</t>
  </si>
  <si>
    <t>26.06-Meu-T-MS-2</t>
  </si>
  <si>
    <t>26.06-Meu-N-MS-2</t>
  </si>
  <si>
    <t>26.06-Meu-N-MS-3</t>
  </si>
  <si>
    <t>26.06-Meu-N-MS-1</t>
  </si>
  <si>
    <t>26.06-Meu-T-MS-1</t>
  </si>
  <si>
    <t>26.06-Lic-MS-3</t>
  </si>
  <si>
    <t>26.06-Lic-MS-2</t>
  </si>
  <si>
    <t>26.06-Lic-MS-1</t>
  </si>
  <si>
    <t>&gt; Proben 1-4 wiesen eine leichte braune Färbung auf</t>
  </si>
  <si>
    <t>&gt; Proben 5-8 wiesen eine starke braune Färbung auf</t>
  </si>
  <si>
    <t>stand. 2,5µM</t>
  </si>
  <si>
    <t>&gt; aufgrund der braun bis gelblichen Färbung der Proben und der sich daraus ergebenden überinterpretation der Nitratreaktion wurde mit persönlichen Blindwerten gearbeitet</t>
  </si>
  <si>
    <t>&gt; der Nachweis setzt anwesendes Nitrat zu einem gelben Farbstoff um, 3-5-nitrosalicylsäure welcher gelb erscheint und photometrisch bei 420nm gemessen wird</t>
  </si>
  <si>
    <t>&gt; je Probe wurde ein Doppelansatz erstellt, davon einer mit salicylsäure und einer ohne, der Ansatz ohne salicylsäure behält dabei die ursprüngliche gelbe Färbung</t>
  </si>
  <si>
    <t>diese Probe wir als Blindwert gemessen und im Anschluss die eigentliche Probe vermessen, somit wird die Eigenfärbung der Probe "abgezogen"</t>
  </si>
  <si>
    <t>geplante Probenahmetermine : 26.06.25 / 23.07.25 / 28.08.25 / 29.09.25</t>
  </si>
  <si>
    <t>&gt; übergabe Proben und Messequiptment von Nele Herzig an Stefan Riedel</t>
  </si>
  <si>
    <t>&gt; 25.07.25 Filterung der Proben durch 0,45µm Spritzenvorsatzfilter (Entfernung von Schwebstoffen)</t>
  </si>
  <si>
    <t xml:space="preserve">&gt; 29.07.25 Photometrische Messung </t>
  </si>
  <si>
    <t>&gt; Proben 1-3 wiesen eine starke gelb Färbung auf</t>
  </si>
  <si>
    <t>&gt; Proben 4-8 wiesen eine leichte gelb Färbung auf</t>
  </si>
  <si>
    <t>geplante Probenahmetermine : 26.06.25 / 23.07.25 / 31.08.25 / 29.09.25</t>
  </si>
  <si>
    <t>&gt; 01.09.25 Filterung der Proben durch 0,45µm Spritzenvorsatzfilter (Entfernung von Schwebstoffen)</t>
  </si>
  <si>
    <t>31.08-Meu-T-MS-2</t>
  </si>
  <si>
    <t>31.08-Meu-N-MS-2</t>
  </si>
  <si>
    <t>31.08-Meu-N-MS-3</t>
  </si>
  <si>
    <t>31.08-Meu-N-MS-1</t>
  </si>
  <si>
    <t>31.08-Meu-T-MS-1</t>
  </si>
  <si>
    <t>31.08-Lic-MS-3</t>
  </si>
  <si>
    <t>31.08-Lic-MS-2</t>
  </si>
  <si>
    <t>31.08-Lic-MS-1</t>
  </si>
  <si>
    <t>23.07-Meu-T-MS-2</t>
  </si>
  <si>
    <t>23.07-Meu-N-MS-2</t>
  </si>
  <si>
    <t>23.07-Meu-N-MS-3</t>
  </si>
  <si>
    <t>23.07-Meu-N-MS-1</t>
  </si>
  <si>
    <t>23.07-Meu-T-MS-1</t>
  </si>
  <si>
    <t>23.07-Lic-MS-3</t>
  </si>
  <si>
    <t>23.07-Lic-MS-2</t>
  </si>
  <si>
    <t>23.07-Lic-MS-1</t>
  </si>
  <si>
    <t>&gt; Proben 1 weisst eine starke gelb Färbung auf</t>
  </si>
  <si>
    <t>&gt; Proben 2-8 wiesen eine leichte gelb Färbung auf</t>
  </si>
  <si>
    <t>&gt;Probe 1 nach Filtration klar</t>
  </si>
  <si>
    <t xml:space="preserve">&gt; 05.09.25 Photometrische Messung </t>
  </si>
  <si>
    <t>geplante Probenahmetermine : 26.06.25 / 23.07.25 / 31.08.25 / 24.09.25</t>
  </si>
  <si>
    <t>&gt; 25.09.25 Filterung der Proben durch 0,45µm Spritzenvorsatzfilter (Entfernung von Schwebstoffen)</t>
  </si>
  <si>
    <t>9=</t>
  </si>
  <si>
    <t>24.09-Lic-MS-4</t>
  </si>
  <si>
    <t>24.09-Meu-T-MS-2</t>
  </si>
  <si>
    <t>24.09-Meu-N-MS-2</t>
  </si>
  <si>
    <t>24.09-Meu-N-MS-3</t>
  </si>
  <si>
    <t>24.09-Meu-N-MS-1</t>
  </si>
  <si>
    <t>24.09-Meu-T-MS-1</t>
  </si>
  <si>
    <t>24.09-Lic-MS-3</t>
  </si>
  <si>
    <t>24.09-Lic-MS-2</t>
  </si>
  <si>
    <t>24.09-Lic-MS-1</t>
  </si>
  <si>
    <t>&gt; Proben 6-9 wiesen eine leichte gelb Färbung auf</t>
  </si>
  <si>
    <t>&gt;Proben 1-5 weisen eine starke Gelbfärbung auf</t>
  </si>
  <si>
    <t xml:space="preserve">&gt; 29.09.25 Photometrische Messung </t>
  </si>
  <si>
    <t>Nitrat</t>
  </si>
  <si>
    <t>MT</t>
  </si>
  <si>
    <t>-</t>
  </si>
  <si>
    <t>MN</t>
  </si>
  <si>
    <t>Standort</t>
  </si>
  <si>
    <t>Messpunkt</t>
  </si>
  <si>
    <t>ID</t>
  </si>
  <si>
    <t xml:space="preserve">Datum </t>
  </si>
  <si>
    <t>Phosphat</t>
  </si>
  <si>
    <t>Ammonium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</si>
</sst>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27" applyNumberFormat="0" applyFill="0" applyAlignment="0" applyProtection="0"/>
    <xf numFmtId="0" fontId="5" fillId="0" borderId="28" applyNumberFormat="0" applyFill="0" applyAlignment="0" applyProtection="0"/>
    <xf numFmtId="0" fontId="6" fillId="0" borderId="29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30" applyNumberFormat="0" applyAlignment="0" applyProtection="0"/>
    <xf numFmtId="0" fontId="11" fillId="6" borderId="31" applyNumberFormat="0" applyAlignment="0" applyProtection="0"/>
    <xf numFmtId="0" fontId="12" fillId="6" borderId="30" applyNumberFormat="0" applyAlignment="0" applyProtection="0"/>
    <xf numFmtId="0" fontId="13" fillId="0" borderId="32" applyNumberFormat="0" applyFill="0" applyAlignment="0" applyProtection="0"/>
    <xf numFmtId="0" fontId="14" fillId="7" borderId="33" applyNumberFormat="0" applyAlignment="0" applyProtection="0"/>
    <xf numFmtId="0" fontId="15" fillId="0" borderId="0" applyNumberFormat="0" applyFill="0" applyBorder="0" applyAlignment="0" applyProtection="0"/>
    <xf numFmtId="0" fontId="2" fillId="8" borderId="34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35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</cellStyleXfs>
  <cellXfs count="8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4" xfId="0" applyBorder="1"/>
    <xf numFmtId="0" fontId="0" fillId="0" borderId="22" xfId="0" applyBorder="1"/>
    <xf numFmtId="0" fontId="0" fillId="0" borderId="9" xfId="0" applyBorder="1"/>
    <xf numFmtId="0" fontId="0" fillId="0" borderId="20" xfId="0" applyBorder="1"/>
    <xf numFmtId="0" fontId="0" fillId="0" borderId="14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5" xfId="0" applyBorder="1"/>
    <xf numFmtId="0" fontId="0" fillId="0" borderId="24" xfId="0" applyBorder="1" applyAlignment="1">
      <alignment horizontal="center"/>
    </xf>
    <xf numFmtId="2" fontId="0" fillId="0" borderId="26" xfId="0" applyNumberFormat="1" applyBorder="1"/>
    <xf numFmtId="2" fontId="0" fillId="0" borderId="25" xfId="0" applyNumberFormat="1" applyBorder="1"/>
    <xf numFmtId="2" fontId="0" fillId="0" borderId="24" xfId="0" applyNumberFormat="1" applyBorder="1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26" xfId="0" applyBorder="1" applyAlignment="1">
      <alignment horizontal="center"/>
    </xf>
    <xf numFmtId="0" fontId="0" fillId="0" borderId="37" xfId="0" applyBorder="1"/>
    <xf numFmtId="0" fontId="0" fillId="0" borderId="21" xfId="0" applyBorder="1"/>
    <xf numFmtId="0" fontId="0" fillId="0" borderId="38" xfId="0" applyBorder="1"/>
    <xf numFmtId="0" fontId="0" fillId="0" borderId="42" xfId="0" applyBorder="1"/>
    <xf numFmtId="0" fontId="0" fillId="0" borderId="41" xfId="0" applyBorder="1"/>
    <xf numFmtId="0" fontId="0" fillId="0" borderId="43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47" xfId="0" applyBorder="1"/>
    <xf numFmtId="0" fontId="0" fillId="0" borderId="48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8" xfId="0" applyBorder="1" applyAlignment="1">
      <alignment horizontal="right"/>
    </xf>
    <xf numFmtId="0" fontId="0" fillId="33" borderId="8" xfId="0" applyFill="1" applyBorder="1"/>
    <xf numFmtId="14" fontId="0" fillId="0" borderId="8" xfId="0" applyNumberFormat="1" applyBorder="1"/>
    <xf numFmtId="0" fontId="0" fillId="33" borderId="9" xfId="0" applyFill="1" applyBorder="1"/>
    <xf numFmtId="0" fontId="0" fillId="0" borderId="9" xfId="0" applyBorder="1" applyAlignment="1">
      <alignment horizontal="right"/>
    </xf>
    <xf numFmtId="2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6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1" fontId="0" fillId="0" borderId="54" xfId="0" applyNumberFormat="1" applyBorder="1" applyAlignment="1">
      <alignment horizontal="center"/>
    </xf>
    <xf numFmtId="1" fontId="0" fillId="0" borderId="55" xfId="0" applyNumberFormat="1" applyBorder="1" applyAlignment="1">
      <alignment horizont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Komma 2" xfId="42" xr:uid="{00000000-0005-0000-0000-00001E00000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3" xr:uid="{00000000-0005-0000-0000-00002300000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314128281067305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'26.06.2025'!$C$57:$C$62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'26.06.2025'!$B$57:$B$62</c:f>
              <c:numCache>
                <c:formatCode>General</c:formatCode>
                <c:ptCount val="6"/>
                <c:pt idx="0">
                  <c:v>0.04</c:v>
                </c:pt>
                <c:pt idx="1">
                  <c:v>8.4000000000000005E-2</c:v>
                </c:pt>
                <c:pt idx="2">
                  <c:v>0.22800000000000001</c:v>
                </c:pt>
                <c:pt idx="3">
                  <c:v>0.54300000000000004</c:v>
                </c:pt>
                <c:pt idx="4">
                  <c:v>0.98199999999999998</c:v>
                </c:pt>
                <c:pt idx="5">
                  <c:v>1.8460000000000001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5D-4836-B41C-D97B820C5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67410323709536E-2"/>
                  <c:y val="-0.1760148731408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'26.06.2025'!$C$101:$C$105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'26.06.2025'!$B$101:$B$105</c:f>
              <c:numCache>
                <c:formatCode>General</c:formatCode>
                <c:ptCount val="5"/>
                <c:pt idx="0">
                  <c:v>1E-3</c:v>
                </c:pt>
                <c:pt idx="1">
                  <c:v>1.6E-2</c:v>
                </c:pt>
                <c:pt idx="2">
                  <c:v>8.8999999999999996E-2</c:v>
                </c:pt>
                <c:pt idx="3">
                  <c:v>0.217</c:v>
                </c:pt>
                <c:pt idx="4">
                  <c:v>0.501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C4-4383-AAE8-162429B05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'26.06.2025'!$C$123:$C$130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'26.06.2025'!$B$123:$B$130</c:f>
              <c:numCache>
                <c:formatCode>General</c:formatCode>
                <c:ptCount val="8"/>
                <c:pt idx="0">
                  <c:v>0</c:v>
                </c:pt>
                <c:pt idx="1">
                  <c:v>1E-3</c:v>
                </c:pt>
                <c:pt idx="2">
                  <c:v>8.0000000000000002E-3</c:v>
                </c:pt>
                <c:pt idx="3">
                  <c:v>4.1000000000000002E-2</c:v>
                </c:pt>
                <c:pt idx="4">
                  <c:v>8.3000000000000004E-2</c:v>
                </c:pt>
                <c:pt idx="5">
                  <c:v>0.17499999999999999</c:v>
                </c:pt>
                <c:pt idx="6">
                  <c:v>0.375</c:v>
                </c:pt>
                <c:pt idx="7">
                  <c:v>0.91500000000000004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E-4DE1-A7D7-19231D2BB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314128281067305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'23.07.2025'!$C$57:$C$62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'23.07.2025'!$B$57:$B$62</c:f>
              <c:numCache>
                <c:formatCode>General</c:formatCode>
                <c:ptCount val="6"/>
                <c:pt idx="0">
                  <c:v>3.5000000000000003E-2</c:v>
                </c:pt>
                <c:pt idx="1">
                  <c:v>8.3000000000000004E-2</c:v>
                </c:pt>
                <c:pt idx="3">
                  <c:v>0.48499999999999999</c:v>
                </c:pt>
                <c:pt idx="4">
                  <c:v>0.96499999999999997</c:v>
                </c:pt>
                <c:pt idx="5">
                  <c:v>1.8340000000000001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D-45C7-8EB4-692C9BDC6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67410323709536E-2"/>
                  <c:y val="-0.1760148731408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'23.07.2025'!$C$101:$C$105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'23.07.2025'!$B$101:$B$105</c:f>
              <c:numCache>
                <c:formatCode>General</c:formatCode>
                <c:ptCount val="5"/>
                <c:pt idx="0">
                  <c:v>1E-3</c:v>
                </c:pt>
                <c:pt idx="1">
                  <c:v>1.6E-2</c:v>
                </c:pt>
                <c:pt idx="2">
                  <c:v>8.8999999999999996E-2</c:v>
                </c:pt>
                <c:pt idx="3">
                  <c:v>0.217</c:v>
                </c:pt>
                <c:pt idx="4">
                  <c:v>0.501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61-4192-98D3-9496779A2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'23.07.2025'!$C$123:$C$130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'23.07.2025'!$B$123:$B$130</c:f>
              <c:numCache>
                <c:formatCode>General</c:formatCode>
                <c:ptCount val="8"/>
                <c:pt idx="0">
                  <c:v>0</c:v>
                </c:pt>
                <c:pt idx="1">
                  <c:v>1E-3</c:v>
                </c:pt>
                <c:pt idx="2">
                  <c:v>8.0000000000000002E-3</c:v>
                </c:pt>
                <c:pt idx="3">
                  <c:v>4.1000000000000002E-2</c:v>
                </c:pt>
                <c:pt idx="4">
                  <c:v>8.3000000000000004E-2</c:v>
                </c:pt>
                <c:pt idx="5">
                  <c:v>0.17499999999999999</c:v>
                </c:pt>
                <c:pt idx="6">
                  <c:v>0.375</c:v>
                </c:pt>
                <c:pt idx="7">
                  <c:v>0.91500000000000004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9-4F6B-ADAF-3CEBCBF62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69622604164925"/>
                  <c:y val="-0.23108741615631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'31.08.2025'!$C$58:$C$63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'31.08.2025'!$B$58:$B$63</c:f>
              <c:numCache>
                <c:formatCode>General</c:formatCode>
                <c:ptCount val="6"/>
                <c:pt idx="0">
                  <c:v>3.5999999999999997E-2</c:v>
                </c:pt>
                <c:pt idx="1">
                  <c:v>0.08</c:v>
                </c:pt>
                <c:pt idx="3">
                  <c:v>0.48399999999999999</c:v>
                </c:pt>
                <c:pt idx="4">
                  <c:v>0.97299999999999998</c:v>
                </c:pt>
                <c:pt idx="5">
                  <c:v>1.899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42-4E4C-A3A8-EA391D8CC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95106059135024E-2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'31.08.2025'!$C$102:$C$106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'31.08.2025'!$B$102:$B$106</c:f>
              <c:numCache>
                <c:formatCode>General</c:formatCode>
                <c:ptCount val="5"/>
                <c:pt idx="0">
                  <c:v>1.0999999999999999E-2</c:v>
                </c:pt>
                <c:pt idx="1">
                  <c:v>2.1000000000000001E-2</c:v>
                </c:pt>
                <c:pt idx="2">
                  <c:v>0.105</c:v>
                </c:pt>
                <c:pt idx="3">
                  <c:v>0.216</c:v>
                </c:pt>
                <c:pt idx="4">
                  <c:v>0.52600000000000002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9-403C-B86E-03077673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'31.08.2025'!$C$124:$C$131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'31.08.2025'!$B$124:$B$131</c:f>
              <c:numCache>
                <c:formatCode>General</c:formatCode>
                <c:ptCount val="8"/>
                <c:pt idx="2">
                  <c:v>2.3E-2</c:v>
                </c:pt>
                <c:pt idx="4">
                  <c:v>9.6000000000000002E-2</c:v>
                </c:pt>
                <c:pt idx="5">
                  <c:v>0.20499999999999999</c:v>
                </c:pt>
                <c:pt idx="6">
                  <c:v>0.39500000000000002</c:v>
                </c:pt>
                <c:pt idx="7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DF-451C-84C8-A975ED562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69622604164925"/>
                  <c:y val="-0.23108741615631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'24.09.2025'!$C$59:$C$64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'24.09.2025'!$B$59:$B$64</c:f>
              <c:numCache>
                <c:formatCode>General</c:formatCode>
                <c:ptCount val="6"/>
                <c:pt idx="0">
                  <c:v>4.2999999999999997E-2</c:v>
                </c:pt>
                <c:pt idx="1">
                  <c:v>9.4E-2</c:v>
                </c:pt>
                <c:pt idx="2">
                  <c:v>0.25</c:v>
                </c:pt>
                <c:pt idx="3">
                  <c:v>0.52</c:v>
                </c:pt>
                <c:pt idx="4">
                  <c:v>1.028</c:v>
                </c:pt>
                <c:pt idx="5">
                  <c:v>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2C-4CB9-B706-7ED3E80CC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95106059135024E-2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'24.09.2025'!$C$103:$C$107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'24.09.2025'!$B$103:$B$107</c:f>
              <c:numCache>
                <c:formatCode>General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8.2000000000000003E-2</c:v>
                </c:pt>
                <c:pt idx="3">
                  <c:v>0.20300000000000001</c:v>
                </c:pt>
                <c:pt idx="4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D-48EB-8785-BFC70EBB6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'24.09.2025'!$C$125:$C$132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'24.09.2025'!$B$125:$B$132</c:f>
              <c:numCache>
                <c:formatCode>General</c:formatCode>
                <c:ptCount val="8"/>
                <c:pt idx="2">
                  <c:v>2.1999999999999999E-2</c:v>
                </c:pt>
                <c:pt idx="4">
                  <c:v>0.10199999999999999</c:v>
                </c:pt>
                <c:pt idx="5">
                  <c:v>0.19400000000000001</c:v>
                </c:pt>
                <c:pt idx="6">
                  <c:v>0.376</c:v>
                </c:pt>
                <c:pt idx="7">
                  <c:v>0.96699999999999997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7-40EF-A39B-A9564553B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11205</xdr:rowOff>
    </xdr:from>
    <xdr:to>
      <xdr:col>4</xdr:col>
      <xdr:colOff>276945</xdr:colOff>
      <xdr:row>52</xdr:row>
      <xdr:rowOff>69354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13365255"/>
          <a:ext cx="4511488" cy="5596256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71</xdr:row>
      <xdr:rowOff>60830</xdr:rowOff>
    </xdr:from>
    <xdr:to>
      <xdr:col>5</xdr:col>
      <xdr:colOff>571499</xdr:colOff>
      <xdr:row>98</xdr:row>
      <xdr:rowOff>122769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28673930"/>
          <a:ext cx="5509932" cy="5219047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24</xdr:row>
      <xdr:rowOff>174010</xdr:rowOff>
    </xdr:from>
    <xdr:to>
      <xdr:col>12</xdr:col>
      <xdr:colOff>65794</xdr:colOff>
      <xdr:row>39</xdr:row>
      <xdr:rowOff>59710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73</xdr:row>
      <xdr:rowOff>13615</xdr:rowOff>
    </xdr:from>
    <xdr:to>
      <xdr:col>13</xdr:col>
      <xdr:colOff>734794</xdr:colOff>
      <xdr:row>87</xdr:row>
      <xdr:rowOff>89815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820190</xdr:colOff>
      <xdr:row>139</xdr:row>
      <xdr:rowOff>5282</xdr:rowOff>
    </xdr:from>
    <xdr:to>
      <xdr:col>5</xdr:col>
      <xdr:colOff>939214</xdr:colOff>
      <xdr:row>148</xdr:row>
      <xdr:rowOff>123344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11205</xdr:rowOff>
    </xdr:from>
    <xdr:to>
      <xdr:col>4</xdr:col>
      <xdr:colOff>276945</xdr:colOff>
      <xdr:row>52</xdr:row>
      <xdr:rowOff>69354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4392705"/>
          <a:ext cx="4229820" cy="5592174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71</xdr:row>
      <xdr:rowOff>60830</xdr:rowOff>
    </xdr:from>
    <xdr:to>
      <xdr:col>5</xdr:col>
      <xdr:colOff>571499</xdr:colOff>
      <xdr:row>98</xdr:row>
      <xdr:rowOff>122769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13614905"/>
          <a:ext cx="5171114" cy="5214964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24</xdr:row>
      <xdr:rowOff>174010</xdr:rowOff>
    </xdr:from>
    <xdr:to>
      <xdr:col>12</xdr:col>
      <xdr:colOff>65794</xdr:colOff>
      <xdr:row>39</xdr:row>
      <xdr:rowOff>59710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73</xdr:row>
      <xdr:rowOff>13615</xdr:rowOff>
    </xdr:from>
    <xdr:to>
      <xdr:col>13</xdr:col>
      <xdr:colOff>734794</xdr:colOff>
      <xdr:row>87</xdr:row>
      <xdr:rowOff>89815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353465</xdr:colOff>
      <xdr:row>139</xdr:row>
      <xdr:rowOff>14807</xdr:rowOff>
    </xdr:from>
    <xdr:to>
      <xdr:col>5</xdr:col>
      <xdr:colOff>472489</xdr:colOff>
      <xdr:row>148</xdr:row>
      <xdr:rowOff>132869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11205</xdr:rowOff>
    </xdr:from>
    <xdr:to>
      <xdr:col>4</xdr:col>
      <xdr:colOff>276945</xdr:colOff>
      <xdr:row>53</xdr:row>
      <xdr:rowOff>69354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4392705"/>
          <a:ext cx="4229820" cy="5592174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72</xdr:row>
      <xdr:rowOff>60830</xdr:rowOff>
    </xdr:from>
    <xdr:to>
      <xdr:col>5</xdr:col>
      <xdr:colOff>571499</xdr:colOff>
      <xdr:row>99</xdr:row>
      <xdr:rowOff>122769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13614905"/>
          <a:ext cx="5171114" cy="5214964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25</xdr:row>
      <xdr:rowOff>174010</xdr:rowOff>
    </xdr:from>
    <xdr:to>
      <xdr:col>12</xdr:col>
      <xdr:colOff>65794</xdr:colOff>
      <xdr:row>40</xdr:row>
      <xdr:rowOff>59710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74</xdr:row>
      <xdr:rowOff>13615</xdr:rowOff>
    </xdr:from>
    <xdr:to>
      <xdr:col>13</xdr:col>
      <xdr:colOff>734794</xdr:colOff>
      <xdr:row>88</xdr:row>
      <xdr:rowOff>89815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543965</xdr:colOff>
      <xdr:row>140</xdr:row>
      <xdr:rowOff>14807</xdr:rowOff>
    </xdr:from>
    <xdr:to>
      <xdr:col>5</xdr:col>
      <xdr:colOff>662989</xdr:colOff>
      <xdr:row>149</xdr:row>
      <xdr:rowOff>132869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11205</xdr:rowOff>
    </xdr:from>
    <xdr:to>
      <xdr:col>4</xdr:col>
      <xdr:colOff>276945</xdr:colOff>
      <xdr:row>54</xdr:row>
      <xdr:rowOff>69354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4583205"/>
          <a:ext cx="4229820" cy="5592174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73</xdr:row>
      <xdr:rowOff>60830</xdr:rowOff>
    </xdr:from>
    <xdr:to>
      <xdr:col>5</xdr:col>
      <xdr:colOff>571499</xdr:colOff>
      <xdr:row>100</xdr:row>
      <xdr:rowOff>122769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13805405"/>
          <a:ext cx="5171114" cy="5214964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26</xdr:row>
      <xdr:rowOff>174010</xdr:rowOff>
    </xdr:from>
    <xdr:to>
      <xdr:col>12</xdr:col>
      <xdr:colOff>65794</xdr:colOff>
      <xdr:row>41</xdr:row>
      <xdr:rowOff>59710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75</xdr:row>
      <xdr:rowOff>13615</xdr:rowOff>
    </xdr:from>
    <xdr:to>
      <xdr:col>13</xdr:col>
      <xdr:colOff>734794</xdr:colOff>
      <xdr:row>89</xdr:row>
      <xdr:rowOff>89815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534440</xdr:colOff>
      <xdr:row>141</xdr:row>
      <xdr:rowOff>176732</xdr:rowOff>
    </xdr:from>
    <xdr:to>
      <xdr:col>5</xdr:col>
      <xdr:colOff>653464</xdr:colOff>
      <xdr:row>151</xdr:row>
      <xdr:rowOff>104294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opLeftCell="A120" zoomScaleNormal="100" zoomScalePageLayoutView="85" workbookViewId="0">
      <selection activeCell="K131" activeCellId="1" sqref="A131:A138 K131:K138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70" t="s">
        <v>26</v>
      </c>
      <c r="B1" s="70"/>
      <c r="C1" s="70"/>
      <c r="D1" s="70"/>
      <c r="E1" s="70"/>
      <c r="F1" s="70"/>
      <c r="G1" s="70"/>
      <c r="H1" s="70"/>
      <c r="I1" s="1"/>
    </row>
    <row r="2" spans="1:9" s="25" customFormat="1" x14ac:dyDescent="0.25">
      <c r="A2" s="25" t="s">
        <v>29</v>
      </c>
    </row>
    <row r="3" spans="1:9" s="25" customFormat="1" x14ac:dyDescent="0.25"/>
    <row r="4" spans="1:9" s="25" customFormat="1" x14ac:dyDescent="0.25">
      <c r="A4" s="26">
        <v>45865</v>
      </c>
    </row>
    <row r="5" spans="1:9" s="25" customFormat="1" x14ac:dyDescent="0.25">
      <c r="A5" s="25" t="s">
        <v>30</v>
      </c>
    </row>
    <row r="6" spans="1:9" s="25" customFormat="1" x14ac:dyDescent="0.25">
      <c r="A6" s="25" t="s">
        <v>31</v>
      </c>
    </row>
    <row r="7" spans="1:9" s="25" customFormat="1" x14ac:dyDescent="0.25">
      <c r="A7" s="25" t="s">
        <v>32</v>
      </c>
    </row>
    <row r="8" spans="1:9" s="25" customFormat="1" x14ac:dyDescent="0.25">
      <c r="A8" s="25" t="s">
        <v>33</v>
      </c>
    </row>
    <row r="9" spans="1:9" s="25" customFormat="1" x14ac:dyDescent="0.25">
      <c r="A9" s="25" t="s">
        <v>37</v>
      </c>
    </row>
    <row r="10" spans="1:9" s="25" customFormat="1" x14ac:dyDescent="0.25">
      <c r="B10" s="34" t="s">
        <v>38</v>
      </c>
      <c r="C10" s="25" t="s">
        <v>46</v>
      </c>
    </row>
    <row r="11" spans="1:9" s="25" customFormat="1" x14ac:dyDescent="0.25">
      <c r="B11" s="34" t="s">
        <v>39</v>
      </c>
      <c r="C11" s="25" t="s">
        <v>47</v>
      </c>
    </row>
    <row r="12" spans="1:9" s="25" customFormat="1" x14ac:dyDescent="0.25">
      <c r="B12" s="34" t="s">
        <v>40</v>
      </c>
      <c r="C12" s="25" t="s">
        <v>48</v>
      </c>
    </row>
    <row r="13" spans="1:9" s="25" customFormat="1" x14ac:dyDescent="0.25">
      <c r="B13" s="34" t="s">
        <v>41</v>
      </c>
      <c r="C13" s="25" t="s">
        <v>49</v>
      </c>
    </row>
    <row r="14" spans="1:9" s="25" customFormat="1" x14ac:dyDescent="0.25">
      <c r="B14" s="34" t="s">
        <v>42</v>
      </c>
      <c r="C14" s="25" t="s">
        <v>50</v>
      </c>
    </row>
    <row r="15" spans="1:9" s="25" customFormat="1" x14ac:dyDescent="0.25">
      <c r="B15" s="34" t="s">
        <v>43</v>
      </c>
      <c r="C15" s="25" t="s">
        <v>51</v>
      </c>
    </row>
    <row r="16" spans="1:9" s="25" customFormat="1" x14ac:dyDescent="0.25">
      <c r="B16" s="34" t="s">
        <v>44</v>
      </c>
      <c r="C16" s="25" t="s">
        <v>52</v>
      </c>
    </row>
    <row r="17" spans="1:3" s="25" customFormat="1" x14ac:dyDescent="0.25">
      <c r="B17" s="34" t="s">
        <v>45</v>
      </c>
      <c r="C17" s="25" t="s">
        <v>53</v>
      </c>
    </row>
    <row r="18" spans="1:3" s="25" customFormat="1" x14ac:dyDescent="0.25">
      <c r="A18" s="25" t="s">
        <v>54</v>
      </c>
    </row>
    <row r="19" spans="1:3" s="25" customFormat="1" x14ac:dyDescent="0.25">
      <c r="A19" s="25" t="s">
        <v>55</v>
      </c>
    </row>
    <row r="20" spans="1:3" s="25" customFormat="1" x14ac:dyDescent="0.25">
      <c r="A20" s="25" t="s">
        <v>57</v>
      </c>
    </row>
    <row r="21" spans="1:3" s="25" customFormat="1" x14ac:dyDescent="0.25">
      <c r="A21" s="25" t="s">
        <v>58</v>
      </c>
    </row>
    <row r="22" spans="1:3" s="25" customFormat="1" x14ac:dyDescent="0.25">
      <c r="A22" s="25" t="s">
        <v>59</v>
      </c>
    </row>
    <row r="23" spans="1:3" s="25" customFormat="1" x14ac:dyDescent="0.25">
      <c r="A23" s="25" t="s">
        <v>60</v>
      </c>
    </row>
    <row r="49" spans="1:11" x14ac:dyDescent="0.25">
      <c r="H49" t="s">
        <v>24</v>
      </c>
      <c r="J49">
        <v>18.038460000000001</v>
      </c>
      <c r="K49" t="s">
        <v>14</v>
      </c>
    </row>
    <row r="50" spans="1:11" x14ac:dyDescent="0.25">
      <c r="H50" t="s">
        <v>16</v>
      </c>
      <c r="J50">
        <v>1E-3</v>
      </c>
      <c r="K50" t="s">
        <v>17</v>
      </c>
    </row>
    <row r="51" spans="1:11" ht="15.75" thickBot="1" x14ac:dyDescent="0.3"/>
    <row r="52" spans="1:11" x14ac:dyDescent="0.25">
      <c r="H52" s="16" t="s">
        <v>22</v>
      </c>
      <c r="I52" s="20" t="s">
        <v>19</v>
      </c>
      <c r="J52" s="20" t="s">
        <v>20</v>
      </c>
    </row>
    <row r="53" spans="1:11" ht="15.75" thickBot="1" x14ac:dyDescent="0.3">
      <c r="H53" s="17" t="s">
        <v>15</v>
      </c>
      <c r="I53" s="17" t="s">
        <v>18</v>
      </c>
      <c r="J53" s="17" t="s">
        <v>21</v>
      </c>
    </row>
    <row r="54" spans="1:11" ht="15.75" thickBot="1" x14ac:dyDescent="0.3">
      <c r="A54" s="28" t="s">
        <v>0</v>
      </c>
      <c r="B54" s="29" t="s">
        <v>1</v>
      </c>
      <c r="C54" s="29" t="s">
        <v>2</v>
      </c>
      <c r="D54" s="29"/>
      <c r="E54" s="29" t="s">
        <v>13</v>
      </c>
      <c r="F54" s="30"/>
      <c r="H54" s="16"/>
      <c r="I54" s="20" t="s">
        <v>23</v>
      </c>
      <c r="J54" s="16"/>
    </row>
    <row r="55" spans="1:11" x14ac:dyDescent="0.25">
      <c r="A55" s="3" t="s">
        <v>34</v>
      </c>
      <c r="B55" s="4">
        <v>5.0000000000000001E-3</v>
      </c>
      <c r="C55" s="77">
        <v>1</v>
      </c>
      <c r="D55" s="77"/>
      <c r="E55" s="68">
        <v>0</v>
      </c>
      <c r="F55" s="69"/>
      <c r="H55" s="18"/>
      <c r="I55" s="27"/>
      <c r="J55" s="18"/>
    </row>
    <row r="56" spans="1:11" x14ac:dyDescent="0.25">
      <c r="A56" s="5" t="s">
        <v>35</v>
      </c>
      <c r="B56" s="6">
        <v>1.6E-2</v>
      </c>
      <c r="C56" s="76">
        <v>2.5</v>
      </c>
      <c r="D56" s="76"/>
      <c r="E56" s="57">
        <f t="shared" ref="E56" si="0">(B56-0.0164)/0.0093</f>
        <v>-4.3010752688172157E-2</v>
      </c>
      <c r="F56" s="58"/>
      <c r="H56" s="18"/>
      <c r="I56" s="27"/>
      <c r="J56" s="18"/>
    </row>
    <row r="57" spans="1:11" x14ac:dyDescent="0.25">
      <c r="A57" s="5" t="s">
        <v>7</v>
      </c>
      <c r="B57" s="6">
        <v>0.04</v>
      </c>
      <c r="C57" s="76">
        <v>5</v>
      </c>
      <c r="D57" s="76"/>
      <c r="E57" s="57">
        <f>(B57-0.0164)/0.0093</f>
        <v>2.5376344086021505</v>
      </c>
      <c r="F57" s="58"/>
      <c r="H57" s="18">
        <f>C57/1000000</f>
        <v>5.0000000000000004E-6</v>
      </c>
      <c r="I57" s="18">
        <f>$J$49*H57</f>
        <v>9.0192300000000014E-5</v>
      </c>
      <c r="J57" s="21">
        <f>I57*1000</f>
        <v>9.0192300000000017E-2</v>
      </c>
    </row>
    <row r="58" spans="1:11" x14ac:dyDescent="0.25">
      <c r="A58" s="5" t="s">
        <v>8</v>
      </c>
      <c r="B58" s="6">
        <v>8.4000000000000005E-2</v>
      </c>
      <c r="C58" s="76">
        <v>10</v>
      </c>
      <c r="D58" s="76"/>
      <c r="E58" s="50">
        <f t="shared" ref="E58:E62" si="1">(B58-0.0164)/0.0093</f>
        <v>7.2688172043010768</v>
      </c>
      <c r="F58" s="51"/>
      <c r="H58" s="18">
        <f>C58/1000000</f>
        <v>1.0000000000000001E-5</v>
      </c>
      <c r="I58" s="18">
        <f t="shared" ref="I58:I62" si="2">$J$49*H58</f>
        <v>1.8038460000000003E-4</v>
      </c>
      <c r="J58" s="21">
        <f t="shared" ref="J58:J62" si="3">I58*1000</f>
        <v>0.18038460000000003</v>
      </c>
    </row>
    <row r="59" spans="1:11" x14ac:dyDescent="0.25">
      <c r="A59" s="5" t="s">
        <v>36</v>
      </c>
      <c r="B59" s="6">
        <v>0.22800000000000001</v>
      </c>
      <c r="C59" s="76">
        <v>25</v>
      </c>
      <c r="D59" s="76"/>
      <c r="E59" s="50">
        <f t="shared" si="1"/>
        <v>22.752688172043015</v>
      </c>
      <c r="F59" s="51"/>
      <c r="H59" s="18"/>
      <c r="I59" s="18"/>
      <c r="J59" s="21"/>
    </row>
    <row r="60" spans="1:11" x14ac:dyDescent="0.25">
      <c r="A60" s="5" t="s">
        <v>3</v>
      </c>
      <c r="B60" s="6">
        <v>0.54300000000000004</v>
      </c>
      <c r="C60" s="76">
        <v>50</v>
      </c>
      <c r="D60" s="76"/>
      <c r="E60" s="50">
        <f t="shared" si="1"/>
        <v>56.62365591397851</v>
      </c>
      <c r="F60" s="51"/>
      <c r="H60" s="18">
        <f>C60/1000000</f>
        <v>5.0000000000000002E-5</v>
      </c>
      <c r="I60" s="18">
        <f t="shared" si="2"/>
        <v>9.0192300000000011E-4</v>
      </c>
      <c r="J60" s="21">
        <f t="shared" si="3"/>
        <v>0.90192300000000014</v>
      </c>
    </row>
    <row r="61" spans="1:11" x14ac:dyDescent="0.25">
      <c r="A61" s="5" t="s">
        <v>4</v>
      </c>
      <c r="B61" s="6">
        <v>0.98199999999999998</v>
      </c>
      <c r="C61" s="76">
        <v>100</v>
      </c>
      <c r="D61" s="76"/>
      <c r="E61" s="50">
        <f t="shared" si="1"/>
        <v>103.82795698924733</v>
      </c>
      <c r="F61" s="51"/>
      <c r="H61" s="18">
        <f>C61/1000000</f>
        <v>1E-4</v>
      </c>
      <c r="I61" s="18">
        <f t="shared" si="2"/>
        <v>1.8038460000000002E-3</v>
      </c>
      <c r="J61" s="21">
        <f t="shared" si="3"/>
        <v>1.8038460000000003</v>
      </c>
    </row>
    <row r="62" spans="1:11" ht="15.75" thickBot="1" x14ac:dyDescent="0.3">
      <c r="A62" s="7" t="s">
        <v>5</v>
      </c>
      <c r="B62" s="8">
        <v>1.8460000000000001</v>
      </c>
      <c r="C62" s="52">
        <v>200</v>
      </c>
      <c r="D62" s="53"/>
      <c r="E62" s="54">
        <f t="shared" si="1"/>
        <v>196.73118279569894</v>
      </c>
      <c r="F62" s="55"/>
      <c r="H62" s="19">
        <f>C62/1000000</f>
        <v>2.0000000000000001E-4</v>
      </c>
      <c r="I62" s="19">
        <f t="shared" si="2"/>
        <v>3.6076920000000005E-3</v>
      </c>
      <c r="J62" s="22">
        <f t="shared" si="3"/>
        <v>3.6076920000000006</v>
      </c>
    </row>
    <row r="63" spans="1:11" x14ac:dyDescent="0.25">
      <c r="A63" s="41" t="s">
        <v>46</v>
      </c>
      <c r="B63" s="9">
        <v>1.0999999999999999E-2</v>
      </c>
      <c r="C63" s="72"/>
      <c r="D63" s="73"/>
      <c r="E63" s="74">
        <v>0</v>
      </c>
      <c r="F63" s="75"/>
      <c r="H63" s="18">
        <f t="shared" ref="H63:H70" si="4">E63/1000000</f>
        <v>0</v>
      </c>
      <c r="I63" s="18">
        <f>$J$49*H63*$J$50</f>
        <v>0</v>
      </c>
      <c r="J63" s="21">
        <f>I63*1000000</f>
        <v>0</v>
      </c>
    </row>
    <row r="64" spans="1:11" x14ac:dyDescent="0.25">
      <c r="A64" s="5" t="s">
        <v>47</v>
      </c>
      <c r="B64" s="6">
        <v>2E-3</v>
      </c>
      <c r="C64" s="48"/>
      <c r="D64" s="56"/>
      <c r="E64" s="57">
        <v>0</v>
      </c>
      <c r="F64" s="58"/>
      <c r="H64" s="18">
        <f t="shared" si="4"/>
        <v>0</v>
      </c>
      <c r="I64" s="18">
        <f t="shared" ref="I64:I70" si="5">$J$49*H64*$J$50</f>
        <v>0</v>
      </c>
      <c r="J64" s="21">
        <f t="shared" ref="J64:J70" si="6">I64*1000000</f>
        <v>0</v>
      </c>
    </row>
    <row r="65" spans="1:10" x14ac:dyDescent="0.25">
      <c r="A65" s="5" t="s">
        <v>48</v>
      </c>
      <c r="B65" s="6">
        <v>2E-3</v>
      </c>
      <c r="C65" s="48"/>
      <c r="D65" s="56"/>
      <c r="E65" s="57">
        <v>0</v>
      </c>
      <c r="F65" s="58"/>
      <c r="H65" s="18">
        <f t="shared" si="4"/>
        <v>0</v>
      </c>
      <c r="I65" s="18">
        <f t="shared" si="5"/>
        <v>0</v>
      </c>
      <c r="J65" s="21">
        <f t="shared" si="6"/>
        <v>0</v>
      </c>
    </row>
    <row r="66" spans="1:10" x14ac:dyDescent="0.25">
      <c r="A66" s="5" t="s">
        <v>49</v>
      </c>
      <c r="B66" s="6">
        <v>7.0000000000000001E-3</v>
      </c>
      <c r="C66" s="48"/>
      <c r="D66" s="56"/>
      <c r="E66" s="57">
        <v>0</v>
      </c>
      <c r="F66" s="58"/>
      <c r="H66" s="18">
        <f t="shared" si="4"/>
        <v>0</v>
      </c>
      <c r="I66" s="18">
        <f t="shared" si="5"/>
        <v>0</v>
      </c>
      <c r="J66" s="21">
        <f t="shared" si="6"/>
        <v>0</v>
      </c>
    </row>
    <row r="67" spans="1:10" x14ac:dyDescent="0.25">
      <c r="A67" s="5" t="s">
        <v>50</v>
      </c>
      <c r="B67" s="6">
        <v>0.109</v>
      </c>
      <c r="C67" s="48"/>
      <c r="D67" s="56"/>
      <c r="E67" s="57">
        <f t="shared" ref="E67:E70" si="7">(B67-0.0164)/0.0093</f>
        <v>9.9569892473118298</v>
      </c>
      <c r="F67" s="58"/>
      <c r="H67" s="18">
        <f t="shared" si="4"/>
        <v>9.9569892473118294E-6</v>
      </c>
      <c r="I67" s="18">
        <f t="shared" si="5"/>
        <v>1.7960875225806455E-7</v>
      </c>
      <c r="J67" s="21">
        <f t="shared" si="6"/>
        <v>0.17960875225806455</v>
      </c>
    </row>
    <row r="68" spans="1:10" x14ac:dyDescent="0.25">
      <c r="A68" s="5" t="s">
        <v>51</v>
      </c>
      <c r="B68" s="6">
        <v>0.36</v>
      </c>
      <c r="C68" s="48"/>
      <c r="D68" s="56"/>
      <c r="E68" s="57">
        <f t="shared" si="7"/>
        <v>36.946236559139784</v>
      </c>
      <c r="F68" s="58"/>
      <c r="H68" s="18">
        <f t="shared" si="4"/>
        <v>3.6946236559139785E-5</v>
      </c>
      <c r="I68" s="18">
        <f t="shared" si="5"/>
        <v>6.6645321032258063E-7</v>
      </c>
      <c r="J68" s="21">
        <f t="shared" si="6"/>
        <v>0.66645321032258065</v>
      </c>
    </row>
    <row r="69" spans="1:10" x14ac:dyDescent="0.25">
      <c r="A69" s="5" t="s">
        <v>52</v>
      </c>
      <c r="B69" s="6">
        <v>0.91300000000000003</v>
      </c>
      <c r="C69" s="48"/>
      <c r="D69" s="56"/>
      <c r="E69" s="57">
        <f t="shared" si="7"/>
        <v>96.408602150537646</v>
      </c>
      <c r="F69" s="58"/>
      <c r="H69" s="18">
        <f t="shared" si="4"/>
        <v>9.6408602150537646E-5</v>
      </c>
      <c r="I69" s="18">
        <f t="shared" si="5"/>
        <v>1.7390627135483875E-6</v>
      </c>
      <c r="J69" s="21">
        <f t="shared" si="6"/>
        <v>1.7390627135483876</v>
      </c>
    </row>
    <row r="70" spans="1:10" ht="15.75" thickBot="1" x14ac:dyDescent="0.3">
      <c r="A70" s="7" t="s">
        <v>53</v>
      </c>
      <c r="B70" s="8">
        <v>4.7E-2</v>
      </c>
      <c r="C70" s="52"/>
      <c r="D70" s="59"/>
      <c r="E70" s="60">
        <f t="shared" si="7"/>
        <v>3.2903225806451615</v>
      </c>
      <c r="F70" s="61"/>
      <c r="H70" s="18">
        <f t="shared" si="4"/>
        <v>3.2903225806451615E-6</v>
      </c>
      <c r="I70" s="18">
        <f t="shared" si="5"/>
        <v>5.9352352258064523E-8</v>
      </c>
      <c r="J70" s="21">
        <f t="shared" si="6"/>
        <v>5.9352352258064525E-2</v>
      </c>
    </row>
    <row r="96" spans="9:11" x14ac:dyDescent="0.25">
      <c r="I96" t="s">
        <v>25</v>
      </c>
      <c r="K96">
        <v>94.972999999999999</v>
      </c>
    </row>
    <row r="97" spans="1:12" x14ac:dyDescent="0.25">
      <c r="I97" t="s">
        <v>16</v>
      </c>
      <c r="K97">
        <v>1E-3</v>
      </c>
      <c r="L97" t="s">
        <v>14</v>
      </c>
    </row>
    <row r="98" spans="1:12" ht="15.75" thickBot="1" x14ac:dyDescent="0.3">
      <c r="L98" t="s">
        <v>17</v>
      </c>
    </row>
    <row r="99" spans="1:12" ht="15.75" thickBot="1" x14ac:dyDescent="0.3">
      <c r="I99" s="16" t="s">
        <v>22</v>
      </c>
      <c r="J99" s="20" t="s">
        <v>19</v>
      </c>
      <c r="K99" s="20" t="s">
        <v>20</v>
      </c>
    </row>
    <row r="100" spans="1:12" ht="15.75" thickBot="1" x14ac:dyDescent="0.3">
      <c r="A100" s="38" t="s">
        <v>0</v>
      </c>
      <c r="B100" s="39" t="s">
        <v>1</v>
      </c>
      <c r="C100" s="39" t="s">
        <v>2</v>
      </c>
      <c r="D100" s="39"/>
      <c r="E100" s="39" t="s">
        <v>13</v>
      </c>
      <c r="F100" s="40"/>
      <c r="I100" s="27" t="s">
        <v>15</v>
      </c>
      <c r="J100" s="17" t="s">
        <v>18</v>
      </c>
      <c r="K100" s="27" t="s">
        <v>21</v>
      </c>
    </row>
    <row r="101" spans="1:12" x14ac:dyDescent="0.25">
      <c r="A101" s="3" t="s">
        <v>9</v>
      </c>
      <c r="B101" s="4">
        <v>1E-3</v>
      </c>
      <c r="C101" s="10">
        <v>0.5</v>
      </c>
      <c r="D101" s="11"/>
      <c r="E101" s="68">
        <f>(B101+0.0049)/0.0204</f>
        <v>0.28921568627450978</v>
      </c>
      <c r="F101" s="69"/>
      <c r="I101" s="16">
        <f t="shared" ref="I101:I106" si="8">C101/1000000</f>
        <v>4.9999999999999998E-7</v>
      </c>
      <c r="J101" s="36">
        <f t="shared" ref="J101:J106" si="9">$K$96*I101</f>
        <v>4.74865E-5</v>
      </c>
      <c r="K101" s="23">
        <f>J101*1000</f>
        <v>4.7486500000000001E-2</v>
      </c>
    </row>
    <row r="102" spans="1:12" x14ac:dyDescent="0.25">
      <c r="A102" s="5" t="s">
        <v>10</v>
      </c>
      <c r="B102" s="6">
        <v>1.6E-2</v>
      </c>
      <c r="C102" s="12">
        <v>1</v>
      </c>
      <c r="D102" s="13"/>
      <c r="E102" s="57">
        <f t="shared" ref="E102:E106" si="10">(B102+0.0049)/0.0204</f>
        <v>1.0245098039215685</v>
      </c>
      <c r="F102" s="58"/>
      <c r="I102" s="18">
        <f t="shared" si="8"/>
        <v>9.9999999999999995E-7</v>
      </c>
      <c r="J102">
        <f t="shared" si="9"/>
        <v>9.4973E-5</v>
      </c>
      <c r="K102" s="21">
        <f t="shared" ref="K102:K106" si="11">J102*1000</f>
        <v>9.4973000000000002E-2</v>
      </c>
    </row>
    <row r="103" spans="1:12" x14ac:dyDescent="0.25">
      <c r="A103" s="5" t="s">
        <v>11</v>
      </c>
      <c r="B103" s="6">
        <v>8.8999999999999996E-2</v>
      </c>
      <c r="C103" s="12">
        <v>5</v>
      </c>
      <c r="D103" s="13"/>
      <c r="E103" s="57">
        <f t="shared" si="10"/>
        <v>4.6029411764705879</v>
      </c>
      <c r="F103" s="58"/>
      <c r="I103" s="18">
        <f t="shared" si="8"/>
        <v>5.0000000000000004E-6</v>
      </c>
      <c r="J103">
        <f t="shared" si="9"/>
        <v>4.7486500000000004E-4</v>
      </c>
      <c r="K103" s="21">
        <f t="shared" si="11"/>
        <v>0.47486500000000004</v>
      </c>
    </row>
    <row r="104" spans="1:12" x14ac:dyDescent="0.25">
      <c r="A104" s="5" t="s">
        <v>8</v>
      </c>
      <c r="B104" s="6">
        <v>0.217</v>
      </c>
      <c r="C104" s="12">
        <v>10</v>
      </c>
      <c r="D104" s="13"/>
      <c r="E104" s="57">
        <f t="shared" si="10"/>
        <v>10.877450980392155</v>
      </c>
      <c r="F104" s="58"/>
      <c r="I104" s="18">
        <f t="shared" si="8"/>
        <v>1.0000000000000001E-5</v>
      </c>
      <c r="J104">
        <f t="shared" si="9"/>
        <v>9.4973000000000008E-4</v>
      </c>
      <c r="K104" s="21">
        <f t="shared" si="11"/>
        <v>0.94973000000000007</v>
      </c>
    </row>
    <row r="105" spans="1:12" x14ac:dyDescent="0.25">
      <c r="A105" s="31" t="s">
        <v>12</v>
      </c>
      <c r="B105" s="2">
        <v>0.501</v>
      </c>
      <c r="C105" s="32">
        <v>25</v>
      </c>
      <c r="D105" s="33"/>
      <c r="E105" s="57">
        <f t="shared" si="10"/>
        <v>24.799019607843135</v>
      </c>
      <c r="F105" s="58"/>
      <c r="I105" s="18">
        <f t="shared" si="8"/>
        <v>2.5000000000000001E-5</v>
      </c>
      <c r="J105">
        <f t="shared" si="9"/>
        <v>2.374325E-3</v>
      </c>
      <c r="K105" s="21">
        <f t="shared" si="11"/>
        <v>2.3743250000000002</v>
      </c>
    </row>
    <row r="106" spans="1:12" ht="15.75" thickBot="1" x14ac:dyDescent="0.3">
      <c r="A106" s="7" t="s">
        <v>3</v>
      </c>
      <c r="B106" s="8">
        <v>0.75900000000000001</v>
      </c>
      <c r="C106" s="14">
        <v>50</v>
      </c>
      <c r="D106" s="15"/>
      <c r="E106" s="60">
        <f t="shared" si="10"/>
        <v>37.446078431372548</v>
      </c>
      <c r="F106" s="61"/>
      <c r="I106" s="19">
        <f t="shared" si="8"/>
        <v>5.0000000000000002E-5</v>
      </c>
      <c r="J106" s="37">
        <f t="shared" si="9"/>
        <v>4.7486500000000001E-3</v>
      </c>
      <c r="K106" s="22">
        <f t="shared" si="11"/>
        <v>4.7486500000000005</v>
      </c>
    </row>
    <row r="107" spans="1:12" x14ac:dyDescent="0.25">
      <c r="A107" s="3" t="s">
        <v>46</v>
      </c>
      <c r="B107" s="4">
        <v>0</v>
      </c>
      <c r="C107" s="62"/>
      <c r="D107" s="71"/>
      <c r="E107" s="68">
        <f t="shared" ref="E107" si="12">(B107+0.0049)/0.0204</f>
        <v>0.24019607843137253</v>
      </c>
      <c r="F107" s="69"/>
      <c r="I107" s="18">
        <f>E107/1000000</f>
        <v>2.4019607843137255E-7</v>
      </c>
      <c r="J107" s="18">
        <f>$J$49*I107*$K$97</f>
        <v>4.3327673529411773E-9</v>
      </c>
      <c r="K107" s="21">
        <f>J107*1000000</f>
        <v>4.3327673529411775E-3</v>
      </c>
    </row>
    <row r="108" spans="1:12" x14ac:dyDescent="0.25">
      <c r="A108" s="5" t="s">
        <v>47</v>
      </c>
      <c r="B108" s="6">
        <v>0</v>
      </c>
      <c r="C108" s="48"/>
      <c r="D108" s="56"/>
      <c r="E108" s="57">
        <f t="shared" ref="E108:E114" si="13">(B108+0.0049)/0.0204</f>
        <v>0.24019607843137253</v>
      </c>
      <c r="F108" s="58"/>
      <c r="I108" s="18">
        <f t="shared" ref="I108:I114" si="14">E108/1000000</f>
        <v>2.4019607843137255E-7</v>
      </c>
      <c r="J108" s="18">
        <f t="shared" ref="J108:J114" si="15">$J$49*I108*$J$50</f>
        <v>4.3327673529411773E-9</v>
      </c>
      <c r="K108" s="21">
        <f>J108*1000000</f>
        <v>4.3327673529411775E-3</v>
      </c>
    </row>
    <row r="109" spans="1:12" x14ac:dyDescent="0.25">
      <c r="A109" s="5" t="s">
        <v>48</v>
      </c>
      <c r="B109" s="6">
        <v>0</v>
      </c>
      <c r="C109" s="48"/>
      <c r="D109" s="56"/>
      <c r="E109" s="57">
        <f t="shared" si="13"/>
        <v>0.24019607843137253</v>
      </c>
      <c r="F109" s="58"/>
      <c r="I109" s="18">
        <f t="shared" si="14"/>
        <v>2.4019607843137255E-7</v>
      </c>
      <c r="J109" s="18">
        <f t="shared" si="15"/>
        <v>4.3327673529411773E-9</v>
      </c>
      <c r="K109" s="21">
        <f t="shared" ref="K109:K114" si="16">J109*1000000</f>
        <v>4.3327673529411775E-3</v>
      </c>
    </row>
    <row r="110" spans="1:12" x14ac:dyDescent="0.25">
      <c r="A110" s="5" t="s">
        <v>49</v>
      </c>
      <c r="B110" s="6">
        <v>0</v>
      </c>
      <c r="C110" s="48"/>
      <c r="D110" s="56"/>
      <c r="E110" s="57">
        <f t="shared" si="13"/>
        <v>0.24019607843137253</v>
      </c>
      <c r="F110" s="58"/>
      <c r="I110" s="18">
        <f t="shared" si="14"/>
        <v>2.4019607843137255E-7</v>
      </c>
      <c r="J110" s="18">
        <f t="shared" si="15"/>
        <v>4.3327673529411773E-9</v>
      </c>
      <c r="K110" s="21">
        <f t="shared" si="16"/>
        <v>4.3327673529411775E-3</v>
      </c>
    </row>
    <row r="111" spans="1:12" x14ac:dyDescent="0.25">
      <c r="A111" s="5" t="s">
        <v>50</v>
      </c>
      <c r="B111" s="6">
        <v>1.4E-2</v>
      </c>
      <c r="C111" s="48"/>
      <c r="D111" s="56"/>
      <c r="E111" s="57">
        <f t="shared" si="13"/>
        <v>0.92647058823529405</v>
      </c>
      <c r="F111" s="58"/>
      <c r="I111" s="18">
        <f t="shared" si="14"/>
        <v>9.2647058823529408E-7</v>
      </c>
      <c r="J111" s="18">
        <f t="shared" si="15"/>
        <v>1.6712102647058825E-8</v>
      </c>
      <c r="K111" s="21">
        <f t="shared" si="16"/>
        <v>1.6712102647058826E-2</v>
      </c>
    </row>
    <row r="112" spans="1:12" x14ac:dyDescent="0.25">
      <c r="A112" s="5" t="s">
        <v>51</v>
      </c>
      <c r="B112" s="6">
        <v>8.9999999999999993E-3</v>
      </c>
      <c r="C112" s="48"/>
      <c r="D112" s="56"/>
      <c r="E112" s="57">
        <f t="shared" si="13"/>
        <v>0.68137254901960775</v>
      </c>
      <c r="F112" s="58"/>
      <c r="I112" s="18">
        <f t="shared" si="14"/>
        <v>6.8137254901960776E-7</v>
      </c>
      <c r="J112" s="18">
        <f t="shared" si="15"/>
        <v>1.2290911470588234E-8</v>
      </c>
      <c r="K112" s="21">
        <f t="shared" si="16"/>
        <v>1.2290911470588233E-2</v>
      </c>
    </row>
    <row r="113" spans="1:11" x14ac:dyDescent="0.25">
      <c r="A113" s="5" t="s">
        <v>52</v>
      </c>
      <c r="B113" s="6">
        <v>3.9E-2</v>
      </c>
      <c r="C113" s="48"/>
      <c r="D113" s="56"/>
      <c r="E113" s="57">
        <f t="shared" si="13"/>
        <v>2.1519607843137254</v>
      </c>
      <c r="F113" s="58"/>
      <c r="I113" s="18">
        <f t="shared" si="14"/>
        <v>2.1519607843137253E-6</v>
      </c>
      <c r="J113" s="18">
        <f t="shared" si="15"/>
        <v>3.8818058529411761E-8</v>
      </c>
      <c r="K113" s="21">
        <f t="shared" si="16"/>
        <v>3.881805852941176E-2</v>
      </c>
    </row>
    <row r="114" spans="1:11" ht="15.75" thickBot="1" x14ac:dyDescent="0.3">
      <c r="A114" s="7" t="s">
        <v>53</v>
      </c>
      <c r="B114" s="8">
        <v>6.0000000000000001E-3</v>
      </c>
      <c r="C114" s="52"/>
      <c r="D114" s="59"/>
      <c r="E114" s="60">
        <f t="shared" si="13"/>
        <v>0.53431372549019607</v>
      </c>
      <c r="F114" s="61"/>
      <c r="I114" s="18">
        <f t="shared" si="14"/>
        <v>5.3431372549019611E-7</v>
      </c>
      <c r="J114" s="18">
        <f t="shared" si="15"/>
        <v>9.6381967647058823E-9</v>
      </c>
      <c r="K114" s="21">
        <f t="shared" si="16"/>
        <v>9.6381967647058819E-3</v>
      </c>
    </row>
    <row r="118" spans="1:11" x14ac:dyDescent="0.25">
      <c r="I118" t="s">
        <v>25</v>
      </c>
      <c r="K118">
        <v>62.005400000000002</v>
      </c>
    </row>
    <row r="119" spans="1:11" x14ac:dyDescent="0.25">
      <c r="H119" s="24"/>
      <c r="I119" t="s">
        <v>16</v>
      </c>
      <c r="K119">
        <v>1E-3</v>
      </c>
    </row>
    <row r="120" spans="1:11" ht="15.75" thickBot="1" x14ac:dyDescent="0.3">
      <c r="A120" s="70" t="s">
        <v>27</v>
      </c>
      <c r="B120" s="70"/>
      <c r="C120" s="70"/>
      <c r="D120" s="70"/>
      <c r="E120" s="70"/>
      <c r="F120" s="70"/>
      <c r="G120" s="70"/>
      <c r="H120" s="70"/>
    </row>
    <row r="121" spans="1:11" ht="15.75" thickBot="1" x14ac:dyDescent="0.3">
      <c r="I121" s="16" t="s">
        <v>22</v>
      </c>
      <c r="J121" s="20" t="s">
        <v>19</v>
      </c>
      <c r="K121" s="20" t="s">
        <v>20</v>
      </c>
    </row>
    <row r="122" spans="1:11" ht="15.75" thickBot="1" x14ac:dyDescent="0.3">
      <c r="A122" s="38" t="s">
        <v>0</v>
      </c>
      <c r="B122" s="39" t="s">
        <v>1</v>
      </c>
      <c r="C122" s="39" t="s">
        <v>2</v>
      </c>
      <c r="D122" s="39"/>
      <c r="E122" s="39" t="s">
        <v>28</v>
      </c>
      <c r="F122" s="40"/>
      <c r="G122" s="35"/>
      <c r="I122" s="17" t="s">
        <v>15</v>
      </c>
      <c r="J122" s="17" t="s">
        <v>18</v>
      </c>
      <c r="K122" s="17" t="s">
        <v>21</v>
      </c>
    </row>
    <row r="123" spans="1:11" x14ac:dyDescent="0.25">
      <c r="A123" s="3" t="s">
        <v>56</v>
      </c>
      <c r="B123" s="4">
        <v>0</v>
      </c>
      <c r="C123" s="62">
        <v>2.5</v>
      </c>
      <c r="D123" s="63"/>
      <c r="E123" s="68">
        <v>0</v>
      </c>
      <c r="F123" s="69"/>
      <c r="G123" s="35"/>
      <c r="I123" s="16">
        <f t="shared" ref="I123:I130" si="17">C123/1000000</f>
        <v>2.5000000000000002E-6</v>
      </c>
      <c r="J123" s="16">
        <f>$K$118*I123</f>
        <v>1.5501350000000002E-4</v>
      </c>
      <c r="K123" s="23">
        <f>J123*1000</f>
        <v>0.15501350000000003</v>
      </c>
    </row>
    <row r="124" spans="1:11" x14ac:dyDescent="0.25">
      <c r="A124" s="31" t="s">
        <v>11</v>
      </c>
      <c r="B124" s="2">
        <v>1E-3</v>
      </c>
      <c r="C124" s="66">
        <v>5</v>
      </c>
      <c r="D124" s="67"/>
      <c r="E124" s="50">
        <f t="shared" ref="E124:E130" si="18">(B124+0.0067)/0.0019</f>
        <v>4.0526315789473681</v>
      </c>
      <c r="F124" s="51"/>
      <c r="G124" s="35"/>
      <c r="I124" s="18">
        <f t="shared" si="17"/>
        <v>5.0000000000000004E-6</v>
      </c>
      <c r="J124" s="18">
        <f>$K$118*I124</f>
        <v>3.1002700000000005E-4</v>
      </c>
      <c r="K124" s="21">
        <f t="shared" ref="K124:K130" si="19">J124*1000</f>
        <v>0.31002700000000005</v>
      </c>
    </row>
    <row r="125" spans="1:11" x14ac:dyDescent="0.25">
      <c r="A125" s="5" t="s">
        <v>8</v>
      </c>
      <c r="B125" s="6">
        <v>8.0000000000000002E-3</v>
      </c>
      <c r="C125" s="48">
        <v>10</v>
      </c>
      <c r="D125" s="49"/>
      <c r="E125" s="50">
        <f t="shared" si="18"/>
        <v>7.7368421052631584</v>
      </c>
      <c r="F125" s="51"/>
      <c r="G125" s="35"/>
      <c r="I125" s="18">
        <f t="shared" si="17"/>
        <v>1.0000000000000001E-5</v>
      </c>
      <c r="J125" s="18">
        <f t="shared" ref="J125:J130" si="20">$K$118*I125</f>
        <v>6.2005400000000009E-4</v>
      </c>
      <c r="K125" s="21">
        <f t="shared" si="19"/>
        <v>0.62005400000000011</v>
      </c>
    </row>
    <row r="126" spans="1:11" x14ac:dyDescent="0.25">
      <c r="A126" s="5" t="s">
        <v>12</v>
      </c>
      <c r="B126" s="6">
        <v>4.1000000000000002E-2</v>
      </c>
      <c r="C126" s="48">
        <v>25</v>
      </c>
      <c r="D126" s="49"/>
      <c r="E126" s="50">
        <f t="shared" si="18"/>
        <v>25.105263157894736</v>
      </c>
      <c r="F126" s="51"/>
      <c r="G126" s="35"/>
      <c r="I126" s="18">
        <f t="shared" si="17"/>
        <v>2.5000000000000001E-5</v>
      </c>
      <c r="J126" s="18">
        <f t="shared" si="20"/>
        <v>1.550135E-3</v>
      </c>
      <c r="K126" s="21">
        <f t="shared" si="19"/>
        <v>1.550135</v>
      </c>
    </row>
    <row r="127" spans="1:11" x14ac:dyDescent="0.25">
      <c r="A127" s="5" t="s">
        <v>3</v>
      </c>
      <c r="B127" s="6">
        <v>8.3000000000000004E-2</v>
      </c>
      <c r="C127" s="48">
        <v>50</v>
      </c>
      <c r="D127" s="49"/>
      <c r="E127" s="50">
        <f t="shared" si="18"/>
        <v>47.210526315789473</v>
      </c>
      <c r="F127" s="51"/>
      <c r="G127" s="35"/>
      <c r="I127" s="18">
        <f t="shared" si="17"/>
        <v>5.0000000000000002E-5</v>
      </c>
      <c r="J127" s="18">
        <f t="shared" si="20"/>
        <v>3.10027E-3</v>
      </c>
      <c r="K127" s="21">
        <f t="shared" si="19"/>
        <v>3.1002700000000001</v>
      </c>
    </row>
    <row r="128" spans="1:11" x14ac:dyDescent="0.25">
      <c r="A128" s="5" t="s">
        <v>4</v>
      </c>
      <c r="B128" s="6">
        <v>0.17499999999999999</v>
      </c>
      <c r="C128" s="48">
        <v>100</v>
      </c>
      <c r="D128" s="49"/>
      <c r="E128" s="50">
        <f t="shared" si="18"/>
        <v>95.631578947368425</v>
      </c>
      <c r="F128" s="51"/>
      <c r="G128" s="35"/>
      <c r="I128" s="18">
        <f t="shared" si="17"/>
        <v>1E-4</v>
      </c>
      <c r="J128" s="18">
        <f t="shared" si="20"/>
        <v>6.20054E-3</v>
      </c>
      <c r="K128" s="21">
        <f t="shared" si="19"/>
        <v>6.2005400000000002</v>
      </c>
    </row>
    <row r="129" spans="1:11" x14ac:dyDescent="0.25">
      <c r="A129" s="5" t="s">
        <v>5</v>
      </c>
      <c r="B129" s="6">
        <v>0.375</v>
      </c>
      <c r="C129" s="48">
        <v>200</v>
      </c>
      <c r="D129" s="49"/>
      <c r="E129" s="50">
        <f t="shared" si="18"/>
        <v>200.89473684210526</v>
      </c>
      <c r="F129" s="51"/>
      <c r="G129" s="35"/>
      <c r="I129" s="18">
        <f t="shared" si="17"/>
        <v>2.0000000000000001E-4</v>
      </c>
      <c r="J129" s="18">
        <f t="shared" si="20"/>
        <v>1.240108E-2</v>
      </c>
      <c r="K129" s="21">
        <f t="shared" si="19"/>
        <v>12.40108</v>
      </c>
    </row>
    <row r="130" spans="1:11" ht="15.75" thickBot="1" x14ac:dyDescent="0.3">
      <c r="A130" s="7" t="s">
        <v>6</v>
      </c>
      <c r="B130" s="8">
        <v>0.91500000000000004</v>
      </c>
      <c r="C130" s="52">
        <v>500</v>
      </c>
      <c r="D130" s="53"/>
      <c r="E130" s="54">
        <f t="shared" si="18"/>
        <v>485.1052631578948</v>
      </c>
      <c r="F130" s="55"/>
      <c r="G130" s="35"/>
      <c r="I130" s="19">
        <f t="shared" si="17"/>
        <v>5.0000000000000001E-4</v>
      </c>
      <c r="J130" s="19">
        <f t="shared" si="20"/>
        <v>3.1002700000000001E-2</v>
      </c>
      <c r="K130" s="22">
        <f t="shared" si="19"/>
        <v>31.002700000000001</v>
      </c>
    </row>
    <row r="131" spans="1:11" x14ac:dyDescent="0.25">
      <c r="A131" s="3" t="s">
        <v>46</v>
      </c>
      <c r="B131" s="4">
        <v>1.0999999999999999E-2</v>
      </c>
      <c r="C131" s="62"/>
      <c r="D131" s="63"/>
      <c r="E131" s="64">
        <f t="shared" ref="E131:E138" si="21">(B131+0.0067)/0.0019</f>
        <v>9.3157894736842106</v>
      </c>
      <c r="F131" s="65"/>
      <c r="G131" s="35"/>
      <c r="I131" s="18">
        <f>E131/1000000</f>
        <v>9.3157894736842104E-6</v>
      </c>
      <c r="J131" s="18">
        <f>$K$118*I131*$K$119</f>
        <v>5.776292526315789E-7</v>
      </c>
      <c r="K131" s="21">
        <f t="shared" ref="K131:K138" si="22">J131*1000000</f>
        <v>0.57762925263157894</v>
      </c>
    </row>
    <row r="132" spans="1:11" x14ac:dyDescent="0.25">
      <c r="A132" s="5" t="s">
        <v>47</v>
      </c>
      <c r="B132" s="6">
        <v>0</v>
      </c>
      <c r="C132" s="48"/>
      <c r="D132" s="49"/>
      <c r="E132" s="50">
        <v>0</v>
      </c>
      <c r="F132" s="51"/>
      <c r="G132" s="35"/>
      <c r="I132" s="18">
        <f>E132/1000000</f>
        <v>0</v>
      </c>
      <c r="J132" s="18">
        <f t="shared" ref="J132:J138" si="23">$K$118*I132*$K$119</f>
        <v>0</v>
      </c>
      <c r="K132" s="21">
        <f t="shared" si="22"/>
        <v>0</v>
      </c>
    </row>
    <row r="133" spans="1:11" x14ac:dyDescent="0.25">
      <c r="A133" s="5" t="s">
        <v>48</v>
      </c>
      <c r="B133" s="6">
        <v>0</v>
      </c>
      <c r="C133" s="48"/>
      <c r="D133" s="49"/>
      <c r="E133" s="50">
        <v>0</v>
      </c>
      <c r="F133" s="51"/>
      <c r="G133" s="35"/>
      <c r="I133" s="18">
        <f t="shared" ref="I133:I138" si="24">E133/1000000</f>
        <v>0</v>
      </c>
      <c r="J133" s="18">
        <f t="shared" si="23"/>
        <v>0</v>
      </c>
      <c r="K133" s="21">
        <f t="shared" si="22"/>
        <v>0</v>
      </c>
    </row>
    <row r="134" spans="1:11" x14ac:dyDescent="0.25">
      <c r="A134" s="5" t="s">
        <v>49</v>
      </c>
      <c r="B134" s="6">
        <v>0</v>
      </c>
      <c r="C134" s="48"/>
      <c r="D134" s="49"/>
      <c r="E134" s="50">
        <v>0</v>
      </c>
      <c r="F134" s="51"/>
      <c r="G134" s="35"/>
      <c r="I134" s="18">
        <f t="shared" si="24"/>
        <v>0</v>
      </c>
      <c r="J134" s="18">
        <f t="shared" si="23"/>
        <v>0</v>
      </c>
      <c r="K134" s="21">
        <f t="shared" si="22"/>
        <v>0</v>
      </c>
    </row>
    <row r="135" spans="1:11" x14ac:dyDescent="0.25">
      <c r="A135" s="5" t="s">
        <v>50</v>
      </c>
      <c r="B135" s="6">
        <v>0</v>
      </c>
      <c r="C135" s="48"/>
      <c r="D135" s="49"/>
      <c r="E135" s="50">
        <v>0</v>
      </c>
      <c r="F135" s="51"/>
      <c r="G135" s="35"/>
      <c r="I135" s="18">
        <f t="shared" si="24"/>
        <v>0</v>
      </c>
      <c r="J135" s="18">
        <f t="shared" si="23"/>
        <v>0</v>
      </c>
      <c r="K135" s="21">
        <f t="shared" si="22"/>
        <v>0</v>
      </c>
    </row>
    <row r="136" spans="1:11" x14ac:dyDescent="0.25">
      <c r="A136" s="5" t="s">
        <v>51</v>
      </c>
      <c r="B136" s="6">
        <v>1.7999999999999999E-2</v>
      </c>
      <c r="C136" s="48"/>
      <c r="D136" s="49"/>
      <c r="E136" s="50">
        <f t="shared" si="21"/>
        <v>13</v>
      </c>
      <c r="F136" s="51"/>
      <c r="G136" s="35"/>
      <c r="I136" s="18">
        <f t="shared" si="24"/>
        <v>1.2999999999999999E-5</v>
      </c>
      <c r="J136" s="18">
        <f t="shared" si="23"/>
        <v>8.060702E-7</v>
      </c>
      <c r="K136" s="21">
        <f t="shared" si="22"/>
        <v>0.80607019999999996</v>
      </c>
    </row>
    <row r="137" spans="1:11" x14ac:dyDescent="0.25">
      <c r="A137" s="5" t="s">
        <v>52</v>
      </c>
      <c r="B137" s="6">
        <v>2.8000000000000001E-2</v>
      </c>
      <c r="C137" s="48"/>
      <c r="D137" s="49"/>
      <c r="E137" s="50">
        <f t="shared" si="21"/>
        <v>18.263157894736842</v>
      </c>
      <c r="F137" s="51"/>
      <c r="G137" s="35"/>
      <c r="I137" s="18">
        <f t="shared" si="24"/>
        <v>1.8263157894736844E-5</v>
      </c>
      <c r="J137" s="18">
        <f t="shared" si="23"/>
        <v>1.1324144105263159E-6</v>
      </c>
      <c r="K137" s="21">
        <f t="shared" si="22"/>
        <v>1.1324144105263159</v>
      </c>
    </row>
    <row r="138" spans="1:11" ht="15.75" thickBot="1" x14ac:dyDescent="0.3">
      <c r="A138" s="7" t="s">
        <v>53</v>
      </c>
      <c r="B138" s="8">
        <v>2.7E-2</v>
      </c>
      <c r="C138" s="52"/>
      <c r="D138" s="53"/>
      <c r="E138" s="54">
        <f t="shared" si="21"/>
        <v>17.736842105263158</v>
      </c>
      <c r="F138" s="55"/>
      <c r="G138" s="35"/>
      <c r="I138" s="18">
        <f t="shared" si="24"/>
        <v>1.7736842105263157E-5</v>
      </c>
      <c r="J138" s="18">
        <f t="shared" si="23"/>
        <v>1.0997799894736841E-6</v>
      </c>
      <c r="K138" s="21">
        <f t="shared" si="22"/>
        <v>1.0997799894736842</v>
      </c>
    </row>
  </sheetData>
  <mergeCells count="88">
    <mergeCell ref="A1:H1"/>
    <mergeCell ref="C59:D59"/>
    <mergeCell ref="E59:F59"/>
    <mergeCell ref="C56:D56"/>
    <mergeCell ref="C55:D55"/>
    <mergeCell ref="E55:F55"/>
    <mergeCell ref="E56:F56"/>
    <mergeCell ref="E106:F106"/>
    <mergeCell ref="C57:D57"/>
    <mergeCell ref="E57:F57"/>
    <mergeCell ref="C58:D58"/>
    <mergeCell ref="E58:F58"/>
    <mergeCell ref="C66:D66"/>
    <mergeCell ref="E66:F66"/>
    <mergeCell ref="C60:D60"/>
    <mergeCell ref="E60:F60"/>
    <mergeCell ref="C61:D61"/>
    <mergeCell ref="E61:F61"/>
    <mergeCell ref="C62:D62"/>
    <mergeCell ref="E62:F62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109:D109"/>
    <mergeCell ref="E109:F109"/>
    <mergeCell ref="C110:D110"/>
    <mergeCell ref="E110:F110"/>
    <mergeCell ref="C111:D111"/>
    <mergeCell ref="E111:F111"/>
    <mergeCell ref="E127:F127"/>
    <mergeCell ref="E101:F101"/>
    <mergeCell ref="E102:F102"/>
    <mergeCell ref="C69:D69"/>
    <mergeCell ref="E69:F69"/>
    <mergeCell ref="C70:D70"/>
    <mergeCell ref="E70:F70"/>
    <mergeCell ref="C112:D112"/>
    <mergeCell ref="E112:F112"/>
    <mergeCell ref="E103:F103"/>
    <mergeCell ref="E104:F104"/>
    <mergeCell ref="E105:F105"/>
    <mergeCell ref="C107:D107"/>
    <mergeCell ref="E107:F107"/>
    <mergeCell ref="C108:D108"/>
    <mergeCell ref="E108:F108"/>
    <mergeCell ref="C113:D113"/>
    <mergeCell ref="E113:F113"/>
    <mergeCell ref="C114:D114"/>
    <mergeCell ref="E114:F114"/>
    <mergeCell ref="C131:D131"/>
    <mergeCell ref="E131:F131"/>
    <mergeCell ref="C126:D126"/>
    <mergeCell ref="E126:F126"/>
    <mergeCell ref="C124:D124"/>
    <mergeCell ref="E124:F124"/>
    <mergeCell ref="C123:D123"/>
    <mergeCell ref="E123:F123"/>
    <mergeCell ref="A120:H120"/>
    <mergeCell ref="C125:D125"/>
    <mergeCell ref="E125:F125"/>
    <mergeCell ref="C127:D127"/>
    <mergeCell ref="C128:D128"/>
    <mergeCell ref="E128:F128"/>
    <mergeCell ref="C129:D129"/>
    <mergeCell ref="E129:F129"/>
    <mergeCell ref="C130:D130"/>
    <mergeCell ref="E130:F130"/>
    <mergeCell ref="C137:D137"/>
    <mergeCell ref="E137:F137"/>
    <mergeCell ref="C138:D138"/>
    <mergeCell ref="E138:F138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8"/>
  <sheetViews>
    <sheetView topLeftCell="A118" zoomScaleNormal="100" zoomScalePageLayoutView="85" workbookViewId="0">
      <selection activeCell="K131" activeCellId="1" sqref="A131:A138 K131:K138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70" t="s">
        <v>26</v>
      </c>
      <c r="B1" s="70"/>
      <c r="C1" s="70"/>
      <c r="D1" s="70"/>
      <c r="E1" s="70"/>
      <c r="F1" s="70"/>
      <c r="G1" s="70"/>
      <c r="H1" s="70"/>
      <c r="I1" s="1"/>
    </row>
    <row r="2" spans="1:9" s="25" customFormat="1" x14ac:dyDescent="0.25">
      <c r="A2" s="25" t="s">
        <v>61</v>
      </c>
    </row>
    <row r="3" spans="1:9" s="25" customFormat="1" x14ac:dyDescent="0.25"/>
    <row r="4" spans="1:9" s="25" customFormat="1" x14ac:dyDescent="0.25">
      <c r="A4" s="26">
        <v>45862</v>
      </c>
    </row>
    <row r="5" spans="1:9" s="25" customFormat="1" x14ac:dyDescent="0.25">
      <c r="A5" s="25" t="s">
        <v>62</v>
      </c>
    </row>
    <row r="6" spans="1:9" s="25" customFormat="1" x14ac:dyDescent="0.25">
      <c r="A6" s="25" t="s">
        <v>31</v>
      </c>
    </row>
    <row r="7" spans="1:9" s="25" customFormat="1" x14ac:dyDescent="0.25">
      <c r="A7" s="25" t="s">
        <v>63</v>
      </c>
    </row>
    <row r="8" spans="1:9" s="25" customFormat="1" x14ac:dyDescent="0.25">
      <c r="A8" s="25" t="s">
        <v>64</v>
      </c>
    </row>
    <row r="9" spans="1:9" s="25" customFormat="1" x14ac:dyDescent="0.25">
      <c r="A9" s="25" t="s">
        <v>37</v>
      </c>
    </row>
    <row r="10" spans="1:9" s="25" customFormat="1" x14ac:dyDescent="0.25">
      <c r="B10" s="34" t="s">
        <v>38</v>
      </c>
      <c r="C10" s="25" t="s">
        <v>77</v>
      </c>
    </row>
    <row r="11" spans="1:9" s="25" customFormat="1" x14ac:dyDescent="0.25">
      <c r="B11" s="34" t="s">
        <v>39</v>
      </c>
      <c r="C11" s="25" t="s">
        <v>78</v>
      </c>
    </row>
    <row r="12" spans="1:9" s="25" customFormat="1" x14ac:dyDescent="0.25">
      <c r="B12" s="34" t="s">
        <v>40</v>
      </c>
      <c r="C12" s="25" t="s">
        <v>79</v>
      </c>
    </row>
    <row r="13" spans="1:9" s="25" customFormat="1" x14ac:dyDescent="0.25">
      <c r="B13" s="34" t="s">
        <v>41</v>
      </c>
      <c r="C13" s="25" t="s">
        <v>80</v>
      </c>
    </row>
    <row r="14" spans="1:9" s="25" customFormat="1" x14ac:dyDescent="0.25">
      <c r="B14" s="34" t="s">
        <v>42</v>
      </c>
      <c r="C14" s="25" t="s">
        <v>81</v>
      </c>
    </row>
    <row r="15" spans="1:9" s="25" customFormat="1" x14ac:dyDescent="0.25">
      <c r="B15" s="34" t="s">
        <v>43</v>
      </c>
      <c r="C15" s="25" t="s">
        <v>82</v>
      </c>
    </row>
    <row r="16" spans="1:9" s="25" customFormat="1" x14ac:dyDescent="0.25">
      <c r="B16" s="34" t="s">
        <v>44</v>
      </c>
      <c r="C16" s="25" t="s">
        <v>83</v>
      </c>
    </row>
    <row r="17" spans="1:3" s="25" customFormat="1" x14ac:dyDescent="0.25">
      <c r="B17" s="34" t="s">
        <v>45</v>
      </c>
      <c r="C17" s="25" t="s">
        <v>84</v>
      </c>
    </row>
    <row r="18" spans="1:3" s="25" customFormat="1" x14ac:dyDescent="0.25">
      <c r="A18" s="25" t="s">
        <v>65</v>
      </c>
    </row>
    <row r="19" spans="1:3" s="25" customFormat="1" x14ac:dyDescent="0.25">
      <c r="A19" s="25" t="s">
        <v>66</v>
      </c>
    </row>
    <row r="20" spans="1:3" s="25" customFormat="1" x14ac:dyDescent="0.25">
      <c r="A20" s="25" t="s">
        <v>57</v>
      </c>
    </row>
    <row r="21" spans="1:3" s="25" customFormat="1" x14ac:dyDescent="0.25">
      <c r="A21" s="25" t="s">
        <v>58</v>
      </c>
    </row>
    <row r="22" spans="1:3" s="25" customFormat="1" x14ac:dyDescent="0.25">
      <c r="A22" s="25" t="s">
        <v>59</v>
      </c>
    </row>
    <row r="23" spans="1:3" s="25" customFormat="1" x14ac:dyDescent="0.25">
      <c r="A23" s="25" t="s">
        <v>60</v>
      </c>
    </row>
    <row r="49" spans="1:11" x14ac:dyDescent="0.25">
      <c r="H49" t="s">
        <v>24</v>
      </c>
      <c r="J49">
        <v>18.038460000000001</v>
      </c>
      <c r="K49" t="s">
        <v>14</v>
      </c>
    </row>
    <row r="50" spans="1:11" x14ac:dyDescent="0.25">
      <c r="H50" t="s">
        <v>16</v>
      </c>
      <c r="J50">
        <v>1E-3</v>
      </c>
      <c r="K50" t="s">
        <v>17</v>
      </c>
    </row>
    <row r="51" spans="1:11" ht="15.75" thickBot="1" x14ac:dyDescent="0.3"/>
    <row r="52" spans="1:11" x14ac:dyDescent="0.25">
      <c r="H52" s="16" t="s">
        <v>22</v>
      </c>
      <c r="I52" s="20" t="s">
        <v>19</v>
      </c>
      <c r="J52" s="20" t="s">
        <v>20</v>
      </c>
    </row>
    <row r="53" spans="1:11" ht="15.75" thickBot="1" x14ac:dyDescent="0.3">
      <c r="H53" s="17" t="s">
        <v>15</v>
      </c>
      <c r="I53" s="17" t="s">
        <v>18</v>
      </c>
      <c r="J53" s="17" t="s">
        <v>21</v>
      </c>
    </row>
    <row r="54" spans="1:11" ht="15.75" thickBot="1" x14ac:dyDescent="0.3">
      <c r="A54" s="28" t="s">
        <v>0</v>
      </c>
      <c r="B54" s="29" t="s">
        <v>1</v>
      </c>
      <c r="C54" s="29" t="s">
        <v>2</v>
      </c>
      <c r="D54" s="29"/>
      <c r="E54" s="29" t="s">
        <v>13</v>
      </c>
      <c r="F54" s="30"/>
      <c r="H54" s="16"/>
      <c r="I54" s="20" t="s">
        <v>23</v>
      </c>
      <c r="J54" s="16"/>
    </row>
    <row r="55" spans="1:11" x14ac:dyDescent="0.25">
      <c r="A55" s="3" t="s">
        <v>34</v>
      </c>
      <c r="B55" s="4"/>
      <c r="C55" s="77">
        <v>1</v>
      </c>
      <c r="D55" s="77"/>
      <c r="E55" s="68">
        <v>0</v>
      </c>
      <c r="F55" s="69"/>
      <c r="H55" s="18"/>
      <c r="I55" s="27"/>
      <c r="J55" s="18"/>
    </row>
    <row r="56" spans="1:11" x14ac:dyDescent="0.25">
      <c r="A56" s="5" t="s">
        <v>35</v>
      </c>
      <c r="B56" s="6"/>
      <c r="C56" s="76">
        <v>2.5</v>
      </c>
      <c r="D56" s="76"/>
      <c r="E56" s="57">
        <f t="shared" ref="E56" si="0">(B56-0.0164)/0.0093</f>
        <v>-1.763440860215054</v>
      </c>
      <c r="F56" s="58"/>
      <c r="H56" s="18"/>
      <c r="I56" s="27"/>
      <c r="J56" s="18"/>
    </row>
    <row r="57" spans="1:11" x14ac:dyDescent="0.25">
      <c r="A57" s="5" t="s">
        <v>7</v>
      </c>
      <c r="B57" s="6">
        <v>3.5000000000000003E-2</v>
      </c>
      <c r="C57" s="76">
        <v>5</v>
      </c>
      <c r="D57" s="76"/>
      <c r="E57" s="57">
        <f>(B57-0.0164)/0.0093</f>
        <v>2.0000000000000004</v>
      </c>
      <c r="F57" s="58"/>
      <c r="H57" s="18">
        <f>C57/1000000</f>
        <v>5.0000000000000004E-6</v>
      </c>
      <c r="I57" s="18">
        <f>$J$49*H57</f>
        <v>9.0192300000000014E-5</v>
      </c>
      <c r="J57" s="21">
        <f>I57*1000</f>
        <v>9.0192300000000017E-2</v>
      </c>
    </row>
    <row r="58" spans="1:11" x14ac:dyDescent="0.25">
      <c r="A58" s="5" t="s">
        <v>8</v>
      </c>
      <c r="B58" s="6">
        <v>8.3000000000000004E-2</v>
      </c>
      <c r="C58" s="76">
        <v>10</v>
      </c>
      <c r="D58" s="76"/>
      <c r="E58" s="50">
        <f t="shared" ref="E58:E62" si="1">(B58-0.0164)/0.0093</f>
        <v>7.1612903225806468</v>
      </c>
      <c r="F58" s="51"/>
      <c r="H58" s="18">
        <f>C58/1000000</f>
        <v>1.0000000000000001E-5</v>
      </c>
      <c r="I58" s="18">
        <f t="shared" ref="I58:I62" si="2">$J$49*H58</f>
        <v>1.8038460000000003E-4</v>
      </c>
      <c r="J58" s="21">
        <f t="shared" ref="J58:J62" si="3">I58*1000</f>
        <v>0.18038460000000003</v>
      </c>
    </row>
    <row r="59" spans="1:11" x14ac:dyDescent="0.25">
      <c r="A59" s="5" t="s">
        <v>36</v>
      </c>
      <c r="B59" s="6"/>
      <c r="C59" s="76">
        <v>25</v>
      </c>
      <c r="D59" s="76"/>
      <c r="E59" s="50">
        <f t="shared" si="1"/>
        <v>-1.763440860215054</v>
      </c>
      <c r="F59" s="51"/>
      <c r="H59" s="18"/>
      <c r="I59" s="18"/>
      <c r="J59" s="21"/>
    </row>
    <row r="60" spans="1:11" x14ac:dyDescent="0.25">
      <c r="A60" s="5" t="s">
        <v>3</v>
      </c>
      <c r="B60" s="6">
        <v>0.48499999999999999</v>
      </c>
      <c r="C60" s="76">
        <v>50</v>
      </c>
      <c r="D60" s="76"/>
      <c r="E60" s="50">
        <f t="shared" si="1"/>
        <v>50.387096774193552</v>
      </c>
      <c r="F60" s="51"/>
      <c r="H60" s="18">
        <f>C60/1000000</f>
        <v>5.0000000000000002E-5</v>
      </c>
      <c r="I60" s="18">
        <f t="shared" si="2"/>
        <v>9.0192300000000011E-4</v>
      </c>
      <c r="J60" s="21">
        <f t="shared" si="3"/>
        <v>0.90192300000000014</v>
      </c>
    </row>
    <row r="61" spans="1:11" x14ac:dyDescent="0.25">
      <c r="A61" s="5" t="s">
        <v>4</v>
      </c>
      <c r="B61" s="6">
        <v>0.96499999999999997</v>
      </c>
      <c r="C61" s="76">
        <v>100</v>
      </c>
      <c r="D61" s="76"/>
      <c r="E61" s="50">
        <f t="shared" si="1"/>
        <v>102.00000000000001</v>
      </c>
      <c r="F61" s="51"/>
      <c r="H61" s="18">
        <f>C61/1000000</f>
        <v>1E-4</v>
      </c>
      <c r="I61" s="18">
        <f t="shared" si="2"/>
        <v>1.8038460000000002E-3</v>
      </c>
      <c r="J61" s="21">
        <f t="shared" si="3"/>
        <v>1.8038460000000003</v>
      </c>
    </row>
    <row r="62" spans="1:11" ht="15.75" thickBot="1" x14ac:dyDescent="0.3">
      <c r="A62" s="7" t="s">
        <v>5</v>
      </c>
      <c r="B62" s="8">
        <v>1.8340000000000001</v>
      </c>
      <c r="C62" s="52">
        <v>200</v>
      </c>
      <c r="D62" s="53"/>
      <c r="E62" s="54">
        <f t="shared" si="1"/>
        <v>195.44086021505379</v>
      </c>
      <c r="F62" s="55"/>
      <c r="H62" s="19">
        <f>C62/1000000</f>
        <v>2.0000000000000001E-4</v>
      </c>
      <c r="I62" s="19">
        <f t="shared" si="2"/>
        <v>3.6076920000000005E-3</v>
      </c>
      <c r="J62" s="22">
        <f t="shared" si="3"/>
        <v>3.6076920000000006</v>
      </c>
    </row>
    <row r="63" spans="1:11" x14ac:dyDescent="0.25">
      <c r="A63" s="41" t="s">
        <v>77</v>
      </c>
      <c r="B63" s="9">
        <v>1.0999999999999999E-2</v>
      </c>
      <c r="C63" s="72"/>
      <c r="D63" s="73"/>
      <c r="E63" s="74">
        <v>0</v>
      </c>
      <c r="F63" s="75"/>
      <c r="H63" s="18">
        <f t="shared" ref="H63:H70" si="4">E63/1000000</f>
        <v>0</v>
      </c>
      <c r="I63" s="18">
        <f>$J$49*H63*$J$50</f>
        <v>0</v>
      </c>
      <c r="J63" s="21">
        <f>I63*1000000</f>
        <v>0</v>
      </c>
    </row>
    <row r="64" spans="1:11" x14ac:dyDescent="0.25">
      <c r="A64" s="5" t="s">
        <v>78</v>
      </c>
      <c r="B64" s="6">
        <v>2E-3</v>
      </c>
      <c r="C64" s="48"/>
      <c r="D64" s="56"/>
      <c r="E64" s="57">
        <v>0</v>
      </c>
      <c r="F64" s="58"/>
      <c r="H64" s="18">
        <f t="shared" si="4"/>
        <v>0</v>
      </c>
      <c r="I64" s="18">
        <f t="shared" ref="I64:I70" si="5">$J$49*H64*$J$50</f>
        <v>0</v>
      </c>
      <c r="J64" s="21">
        <f t="shared" ref="J64:J70" si="6">I64*1000000</f>
        <v>0</v>
      </c>
    </row>
    <row r="65" spans="1:10" x14ac:dyDescent="0.25">
      <c r="A65" s="5" t="s">
        <v>79</v>
      </c>
      <c r="B65" s="6">
        <v>2E-3</v>
      </c>
      <c r="C65" s="48"/>
      <c r="D65" s="56"/>
      <c r="E65" s="57">
        <v>0</v>
      </c>
      <c r="F65" s="58"/>
      <c r="H65" s="18">
        <f t="shared" si="4"/>
        <v>0</v>
      </c>
      <c r="I65" s="18">
        <f t="shared" si="5"/>
        <v>0</v>
      </c>
      <c r="J65" s="21">
        <f t="shared" si="6"/>
        <v>0</v>
      </c>
    </row>
    <row r="66" spans="1:10" x14ac:dyDescent="0.25">
      <c r="A66" s="5" t="s">
        <v>80</v>
      </c>
      <c r="B66" s="6">
        <v>7.0000000000000001E-3</v>
      </c>
      <c r="C66" s="48"/>
      <c r="D66" s="56"/>
      <c r="E66" s="57">
        <v>0</v>
      </c>
      <c r="F66" s="58"/>
      <c r="H66" s="18">
        <f t="shared" si="4"/>
        <v>0</v>
      </c>
      <c r="I66" s="18">
        <f t="shared" si="5"/>
        <v>0</v>
      </c>
      <c r="J66" s="21">
        <f t="shared" si="6"/>
        <v>0</v>
      </c>
    </row>
    <row r="67" spans="1:10" x14ac:dyDescent="0.25">
      <c r="A67" s="5" t="s">
        <v>81</v>
      </c>
      <c r="B67" s="6">
        <v>0.109</v>
      </c>
      <c r="C67" s="48"/>
      <c r="D67" s="56"/>
      <c r="E67" s="57">
        <f t="shared" ref="E67:E70" si="7">(B67-0.0164)/0.0093</f>
        <v>9.9569892473118298</v>
      </c>
      <c r="F67" s="58"/>
      <c r="H67" s="18">
        <f t="shared" si="4"/>
        <v>9.9569892473118294E-6</v>
      </c>
      <c r="I67" s="18">
        <f t="shared" si="5"/>
        <v>1.7960875225806455E-7</v>
      </c>
      <c r="J67" s="21">
        <f t="shared" si="6"/>
        <v>0.17960875225806455</v>
      </c>
    </row>
    <row r="68" spans="1:10" x14ac:dyDescent="0.25">
      <c r="A68" s="5" t="s">
        <v>82</v>
      </c>
      <c r="B68" s="6">
        <v>0.36</v>
      </c>
      <c r="C68" s="48"/>
      <c r="D68" s="56"/>
      <c r="E68" s="57">
        <f t="shared" si="7"/>
        <v>36.946236559139784</v>
      </c>
      <c r="F68" s="58"/>
      <c r="H68" s="18">
        <f t="shared" si="4"/>
        <v>3.6946236559139785E-5</v>
      </c>
      <c r="I68" s="18">
        <f t="shared" si="5"/>
        <v>6.6645321032258063E-7</v>
      </c>
      <c r="J68" s="21">
        <f t="shared" si="6"/>
        <v>0.66645321032258065</v>
      </c>
    </row>
    <row r="69" spans="1:10" x14ac:dyDescent="0.25">
      <c r="A69" s="5" t="s">
        <v>83</v>
      </c>
      <c r="B69" s="6">
        <v>0.91300000000000003</v>
      </c>
      <c r="C69" s="48"/>
      <c r="D69" s="56"/>
      <c r="E69" s="57">
        <f t="shared" si="7"/>
        <v>96.408602150537646</v>
      </c>
      <c r="F69" s="58"/>
      <c r="H69" s="18">
        <f t="shared" si="4"/>
        <v>9.6408602150537646E-5</v>
      </c>
      <c r="I69" s="18">
        <f t="shared" si="5"/>
        <v>1.7390627135483875E-6</v>
      </c>
      <c r="J69" s="21">
        <f t="shared" si="6"/>
        <v>1.7390627135483876</v>
      </c>
    </row>
    <row r="70" spans="1:10" ht="15.75" thickBot="1" x14ac:dyDescent="0.3">
      <c r="A70" s="7" t="s">
        <v>84</v>
      </c>
      <c r="B70" s="8">
        <v>4.7E-2</v>
      </c>
      <c r="C70" s="52"/>
      <c r="D70" s="59"/>
      <c r="E70" s="60">
        <f t="shared" si="7"/>
        <v>3.2903225806451615</v>
      </c>
      <c r="F70" s="61"/>
      <c r="H70" s="18">
        <f t="shared" si="4"/>
        <v>3.2903225806451615E-6</v>
      </c>
      <c r="I70" s="18">
        <f t="shared" si="5"/>
        <v>5.9352352258064523E-8</v>
      </c>
      <c r="J70" s="21">
        <f t="shared" si="6"/>
        <v>5.9352352258064525E-2</v>
      </c>
    </row>
    <row r="96" spans="9:11" x14ac:dyDescent="0.25">
      <c r="I96" t="s">
        <v>25</v>
      </c>
      <c r="K96">
        <v>94.972999999999999</v>
      </c>
    </row>
    <row r="97" spans="1:12" x14ac:dyDescent="0.25">
      <c r="I97" t="s">
        <v>16</v>
      </c>
      <c r="K97">
        <v>1E-3</v>
      </c>
      <c r="L97" t="s">
        <v>14</v>
      </c>
    </row>
    <row r="98" spans="1:12" ht="15.75" thickBot="1" x14ac:dyDescent="0.3">
      <c r="L98" t="s">
        <v>17</v>
      </c>
    </row>
    <row r="99" spans="1:12" ht="15.75" thickBot="1" x14ac:dyDescent="0.3">
      <c r="I99" s="16" t="s">
        <v>22</v>
      </c>
      <c r="J99" s="20" t="s">
        <v>19</v>
      </c>
      <c r="K99" s="20" t="s">
        <v>20</v>
      </c>
    </row>
    <row r="100" spans="1:12" ht="15.75" thickBot="1" x14ac:dyDescent="0.3">
      <c r="A100" s="28" t="s">
        <v>0</v>
      </c>
      <c r="B100" s="29" t="s">
        <v>1</v>
      </c>
      <c r="C100" s="29" t="s">
        <v>2</v>
      </c>
      <c r="D100" s="29"/>
      <c r="E100" s="29" t="s">
        <v>13</v>
      </c>
      <c r="F100" s="30"/>
      <c r="I100" s="27" t="s">
        <v>15</v>
      </c>
      <c r="J100" s="27" t="s">
        <v>18</v>
      </c>
      <c r="K100" s="27" t="s">
        <v>21</v>
      </c>
    </row>
    <row r="101" spans="1:12" x14ac:dyDescent="0.25">
      <c r="A101" s="3" t="s">
        <v>9</v>
      </c>
      <c r="B101" s="4">
        <v>1E-3</v>
      </c>
      <c r="C101" s="10">
        <v>0.5</v>
      </c>
      <c r="D101" s="11"/>
      <c r="E101" s="68">
        <f>(B101+0.0049)/0.0204</f>
        <v>0.28921568627450978</v>
      </c>
      <c r="F101" s="69"/>
      <c r="I101" s="16">
        <f t="shared" ref="I101:I106" si="8">C101/1000000</f>
        <v>4.9999999999999998E-7</v>
      </c>
      <c r="J101" s="16">
        <f t="shared" ref="J101:J106" si="9">$K$96*I101</f>
        <v>4.74865E-5</v>
      </c>
      <c r="K101" s="23">
        <f>J101*1000</f>
        <v>4.7486500000000001E-2</v>
      </c>
    </row>
    <row r="102" spans="1:12" x14ac:dyDescent="0.25">
      <c r="A102" s="5" t="s">
        <v>10</v>
      </c>
      <c r="B102" s="6">
        <v>1.6E-2</v>
      </c>
      <c r="C102" s="12">
        <v>1</v>
      </c>
      <c r="D102" s="13"/>
      <c r="E102" s="57">
        <f t="shared" ref="E102:E114" si="10">(B102+0.0049)/0.0204</f>
        <v>1.0245098039215685</v>
      </c>
      <c r="F102" s="58"/>
      <c r="I102" s="18">
        <f t="shared" si="8"/>
        <v>9.9999999999999995E-7</v>
      </c>
      <c r="J102" s="18">
        <f t="shared" si="9"/>
        <v>9.4973E-5</v>
      </c>
      <c r="K102" s="21">
        <f t="shared" ref="K102:K106" si="11">J102*1000</f>
        <v>9.4973000000000002E-2</v>
      </c>
    </row>
    <row r="103" spans="1:12" x14ac:dyDescent="0.25">
      <c r="A103" s="5" t="s">
        <v>11</v>
      </c>
      <c r="B103" s="6">
        <v>8.8999999999999996E-2</v>
      </c>
      <c r="C103" s="12">
        <v>5</v>
      </c>
      <c r="D103" s="13"/>
      <c r="E103" s="57">
        <f t="shared" si="10"/>
        <v>4.6029411764705879</v>
      </c>
      <c r="F103" s="58"/>
      <c r="I103" s="18">
        <f t="shared" si="8"/>
        <v>5.0000000000000004E-6</v>
      </c>
      <c r="J103" s="18">
        <f t="shared" si="9"/>
        <v>4.7486500000000004E-4</v>
      </c>
      <c r="K103" s="21">
        <f t="shared" si="11"/>
        <v>0.47486500000000004</v>
      </c>
    </row>
    <row r="104" spans="1:12" x14ac:dyDescent="0.25">
      <c r="A104" s="5" t="s">
        <v>8</v>
      </c>
      <c r="B104" s="6">
        <v>0.217</v>
      </c>
      <c r="C104" s="12">
        <v>10</v>
      </c>
      <c r="D104" s="13"/>
      <c r="E104" s="57">
        <f t="shared" si="10"/>
        <v>10.877450980392155</v>
      </c>
      <c r="F104" s="58"/>
      <c r="I104" s="18">
        <f t="shared" si="8"/>
        <v>1.0000000000000001E-5</v>
      </c>
      <c r="J104" s="18">
        <f t="shared" si="9"/>
        <v>9.4973000000000008E-4</v>
      </c>
      <c r="K104" s="21">
        <f t="shared" si="11"/>
        <v>0.94973000000000007</v>
      </c>
    </row>
    <row r="105" spans="1:12" x14ac:dyDescent="0.25">
      <c r="A105" s="31" t="s">
        <v>12</v>
      </c>
      <c r="B105" s="2">
        <v>0.501</v>
      </c>
      <c r="C105" s="32">
        <v>25</v>
      </c>
      <c r="D105" s="33"/>
      <c r="E105" s="57">
        <f t="shared" si="10"/>
        <v>24.799019607843135</v>
      </c>
      <c r="F105" s="58"/>
      <c r="I105" s="18">
        <f t="shared" si="8"/>
        <v>2.5000000000000001E-5</v>
      </c>
      <c r="J105" s="18">
        <f t="shared" si="9"/>
        <v>2.374325E-3</v>
      </c>
      <c r="K105" s="21">
        <f t="shared" si="11"/>
        <v>2.3743250000000002</v>
      </c>
    </row>
    <row r="106" spans="1:12" ht="15.75" thickBot="1" x14ac:dyDescent="0.3">
      <c r="A106" s="7" t="s">
        <v>3</v>
      </c>
      <c r="B106" s="8">
        <v>0.75900000000000001</v>
      </c>
      <c r="C106" s="14">
        <v>50</v>
      </c>
      <c r="D106" s="15"/>
      <c r="E106" s="60">
        <f t="shared" si="10"/>
        <v>37.446078431372548</v>
      </c>
      <c r="F106" s="61"/>
      <c r="I106" s="19">
        <f t="shared" si="8"/>
        <v>5.0000000000000002E-5</v>
      </c>
      <c r="J106" s="19">
        <f t="shared" si="9"/>
        <v>4.7486500000000001E-3</v>
      </c>
      <c r="K106" s="22">
        <f t="shared" si="11"/>
        <v>4.7486500000000005</v>
      </c>
    </row>
    <row r="107" spans="1:12" x14ac:dyDescent="0.25">
      <c r="A107" s="41" t="s">
        <v>77</v>
      </c>
      <c r="B107" s="9">
        <v>0</v>
      </c>
      <c r="C107" s="72"/>
      <c r="D107" s="73"/>
      <c r="E107" s="74">
        <f t="shared" si="10"/>
        <v>0.24019607843137253</v>
      </c>
      <c r="F107" s="75"/>
      <c r="I107" s="18">
        <f>E107/1000000</f>
        <v>2.4019607843137255E-7</v>
      </c>
      <c r="J107" s="18">
        <f>$J$49*I107*$K$97</f>
        <v>4.3327673529411773E-9</v>
      </c>
      <c r="K107" s="21">
        <f>J107*1000000</f>
        <v>4.3327673529411775E-3</v>
      </c>
    </row>
    <row r="108" spans="1:12" x14ac:dyDescent="0.25">
      <c r="A108" s="5" t="s">
        <v>78</v>
      </c>
      <c r="B108" s="6">
        <v>0</v>
      </c>
      <c r="C108" s="48"/>
      <c r="D108" s="56"/>
      <c r="E108" s="57">
        <f t="shared" si="10"/>
        <v>0.24019607843137253</v>
      </c>
      <c r="F108" s="58"/>
      <c r="I108" s="18">
        <f t="shared" ref="I108:I114" si="12">E108/1000000</f>
        <v>2.4019607843137255E-7</v>
      </c>
      <c r="J108" s="18">
        <f t="shared" ref="J108:J114" si="13">$J$49*I108*$J$50</f>
        <v>4.3327673529411773E-9</v>
      </c>
      <c r="K108" s="21">
        <f>J108*1000000</f>
        <v>4.3327673529411775E-3</v>
      </c>
    </row>
    <row r="109" spans="1:12" x14ac:dyDescent="0.25">
      <c r="A109" s="5" t="s">
        <v>79</v>
      </c>
      <c r="B109" s="6">
        <v>0</v>
      </c>
      <c r="C109" s="48"/>
      <c r="D109" s="56"/>
      <c r="E109" s="57">
        <f t="shared" si="10"/>
        <v>0.24019607843137253</v>
      </c>
      <c r="F109" s="58"/>
      <c r="I109" s="18">
        <f t="shared" si="12"/>
        <v>2.4019607843137255E-7</v>
      </c>
      <c r="J109" s="18">
        <f t="shared" si="13"/>
        <v>4.3327673529411773E-9</v>
      </c>
      <c r="K109" s="21">
        <f t="shared" ref="K109:K114" si="14">J109*1000000</f>
        <v>4.3327673529411775E-3</v>
      </c>
    </row>
    <row r="110" spans="1:12" x14ac:dyDescent="0.25">
      <c r="A110" s="5" t="s">
        <v>80</v>
      </c>
      <c r="B110" s="6">
        <v>0</v>
      </c>
      <c r="C110" s="48"/>
      <c r="D110" s="56"/>
      <c r="E110" s="57">
        <f t="shared" si="10"/>
        <v>0.24019607843137253</v>
      </c>
      <c r="F110" s="58"/>
      <c r="I110" s="18">
        <f t="shared" si="12"/>
        <v>2.4019607843137255E-7</v>
      </c>
      <c r="J110" s="18">
        <f t="shared" si="13"/>
        <v>4.3327673529411773E-9</v>
      </c>
      <c r="K110" s="21">
        <f t="shared" si="14"/>
        <v>4.3327673529411775E-3</v>
      </c>
    </row>
    <row r="111" spans="1:12" x14ac:dyDescent="0.25">
      <c r="A111" s="5" t="s">
        <v>81</v>
      </c>
      <c r="B111" s="6">
        <v>1.4E-2</v>
      </c>
      <c r="C111" s="48"/>
      <c r="D111" s="56"/>
      <c r="E111" s="57">
        <f t="shared" si="10"/>
        <v>0.92647058823529405</v>
      </c>
      <c r="F111" s="58"/>
      <c r="I111" s="18">
        <f t="shared" si="12"/>
        <v>9.2647058823529408E-7</v>
      </c>
      <c r="J111" s="18">
        <f t="shared" si="13"/>
        <v>1.6712102647058825E-8</v>
      </c>
      <c r="K111" s="21">
        <f t="shared" si="14"/>
        <v>1.6712102647058826E-2</v>
      </c>
    </row>
    <row r="112" spans="1:12" x14ac:dyDescent="0.25">
      <c r="A112" s="5" t="s">
        <v>82</v>
      </c>
      <c r="B112" s="6">
        <v>8.9999999999999993E-3</v>
      </c>
      <c r="C112" s="48"/>
      <c r="D112" s="56"/>
      <c r="E112" s="57">
        <f t="shared" si="10"/>
        <v>0.68137254901960775</v>
      </c>
      <c r="F112" s="58"/>
      <c r="I112" s="18">
        <f t="shared" si="12"/>
        <v>6.8137254901960776E-7</v>
      </c>
      <c r="J112" s="18">
        <f t="shared" si="13"/>
        <v>1.2290911470588234E-8</v>
      </c>
      <c r="K112" s="21">
        <f t="shared" si="14"/>
        <v>1.2290911470588233E-2</v>
      </c>
    </row>
    <row r="113" spans="1:11" x14ac:dyDescent="0.25">
      <c r="A113" s="5" t="s">
        <v>83</v>
      </c>
      <c r="B113" s="6">
        <v>3.9E-2</v>
      </c>
      <c r="C113" s="48"/>
      <c r="D113" s="56"/>
      <c r="E113" s="57">
        <f t="shared" si="10"/>
        <v>2.1519607843137254</v>
      </c>
      <c r="F113" s="58"/>
      <c r="I113" s="18">
        <f t="shared" si="12"/>
        <v>2.1519607843137253E-6</v>
      </c>
      <c r="J113" s="18">
        <f t="shared" si="13"/>
        <v>3.8818058529411761E-8</v>
      </c>
      <c r="K113" s="21">
        <f t="shared" si="14"/>
        <v>3.881805852941176E-2</v>
      </c>
    </row>
    <row r="114" spans="1:11" ht="15.75" thickBot="1" x14ac:dyDescent="0.3">
      <c r="A114" s="7" t="s">
        <v>84</v>
      </c>
      <c r="B114" s="8">
        <v>6.0000000000000001E-3</v>
      </c>
      <c r="C114" s="52"/>
      <c r="D114" s="59"/>
      <c r="E114" s="60">
        <f t="shared" si="10"/>
        <v>0.53431372549019607</v>
      </c>
      <c r="F114" s="61"/>
      <c r="I114" s="18">
        <f t="shared" si="12"/>
        <v>5.3431372549019611E-7</v>
      </c>
      <c r="J114" s="18">
        <f t="shared" si="13"/>
        <v>9.6381967647058823E-9</v>
      </c>
      <c r="K114" s="21">
        <f t="shared" si="14"/>
        <v>9.6381967647058819E-3</v>
      </c>
    </row>
    <row r="118" spans="1:11" x14ac:dyDescent="0.25">
      <c r="I118" t="s">
        <v>25</v>
      </c>
      <c r="K118">
        <v>62.005400000000002</v>
      </c>
    </row>
    <row r="119" spans="1:11" x14ac:dyDescent="0.25">
      <c r="H119" s="24"/>
      <c r="I119" t="s">
        <v>16</v>
      </c>
      <c r="K119">
        <v>1E-3</v>
      </c>
    </row>
    <row r="120" spans="1:11" ht="15.75" thickBot="1" x14ac:dyDescent="0.3">
      <c r="A120" s="70" t="s">
        <v>27</v>
      </c>
      <c r="B120" s="70"/>
      <c r="C120" s="70"/>
      <c r="D120" s="70"/>
      <c r="E120" s="70"/>
      <c r="F120" s="70"/>
      <c r="G120" s="70"/>
      <c r="H120" s="70"/>
    </row>
    <row r="121" spans="1:11" ht="15.75" thickBot="1" x14ac:dyDescent="0.3">
      <c r="I121" s="16" t="s">
        <v>22</v>
      </c>
      <c r="J121" s="20" t="s">
        <v>19</v>
      </c>
      <c r="K121" s="20" t="s">
        <v>20</v>
      </c>
    </row>
    <row r="122" spans="1:11" ht="15.75" thickBot="1" x14ac:dyDescent="0.3">
      <c r="A122" s="28" t="s">
        <v>0</v>
      </c>
      <c r="B122" s="29" t="s">
        <v>1</v>
      </c>
      <c r="C122" s="29" t="s">
        <v>2</v>
      </c>
      <c r="D122" s="29"/>
      <c r="E122" s="29" t="s">
        <v>28</v>
      </c>
      <c r="F122" s="30"/>
      <c r="G122" s="35"/>
      <c r="I122" s="17" t="s">
        <v>15</v>
      </c>
      <c r="J122" s="17" t="s">
        <v>18</v>
      </c>
      <c r="K122" s="17" t="s">
        <v>21</v>
      </c>
    </row>
    <row r="123" spans="1:11" x14ac:dyDescent="0.25">
      <c r="A123" s="3" t="s">
        <v>56</v>
      </c>
      <c r="B123" s="4">
        <v>0</v>
      </c>
      <c r="C123" s="62">
        <v>2.5</v>
      </c>
      <c r="D123" s="63"/>
      <c r="E123" s="68">
        <v>0</v>
      </c>
      <c r="F123" s="69"/>
      <c r="G123" s="35"/>
      <c r="I123" s="16">
        <f t="shared" ref="I123:I130" si="15">C123/1000000</f>
        <v>2.5000000000000002E-6</v>
      </c>
      <c r="J123" s="16">
        <f>$K$118*I123</f>
        <v>1.5501350000000002E-4</v>
      </c>
      <c r="K123" s="23">
        <f>J123*1000</f>
        <v>0.15501350000000003</v>
      </c>
    </row>
    <row r="124" spans="1:11" x14ac:dyDescent="0.25">
      <c r="A124" s="31" t="s">
        <v>11</v>
      </c>
      <c r="B124" s="2">
        <v>1E-3</v>
      </c>
      <c r="C124" s="66">
        <v>5</v>
      </c>
      <c r="D124" s="67"/>
      <c r="E124" s="50">
        <f t="shared" ref="E124:E138" si="16">(B124+0.0067)/0.0019</f>
        <v>4.0526315789473681</v>
      </c>
      <c r="F124" s="51"/>
      <c r="G124" s="35"/>
      <c r="I124" s="18">
        <f t="shared" si="15"/>
        <v>5.0000000000000004E-6</v>
      </c>
      <c r="J124" s="18">
        <f>$K$118*I124</f>
        <v>3.1002700000000005E-4</v>
      </c>
      <c r="K124" s="21">
        <f t="shared" ref="K124:K130" si="17">J124*1000</f>
        <v>0.31002700000000005</v>
      </c>
    </row>
    <row r="125" spans="1:11" x14ac:dyDescent="0.25">
      <c r="A125" s="5" t="s">
        <v>8</v>
      </c>
      <c r="B125" s="6">
        <v>8.0000000000000002E-3</v>
      </c>
      <c r="C125" s="48">
        <v>10</v>
      </c>
      <c r="D125" s="49"/>
      <c r="E125" s="50">
        <f t="shared" si="16"/>
        <v>7.7368421052631584</v>
      </c>
      <c r="F125" s="51"/>
      <c r="G125" s="35"/>
      <c r="I125" s="18">
        <f t="shared" si="15"/>
        <v>1.0000000000000001E-5</v>
      </c>
      <c r="J125" s="18">
        <f t="shared" ref="J125:J130" si="18">$K$118*I125</f>
        <v>6.2005400000000009E-4</v>
      </c>
      <c r="K125" s="21">
        <f t="shared" si="17"/>
        <v>0.62005400000000011</v>
      </c>
    </row>
    <row r="126" spans="1:11" x14ac:dyDescent="0.25">
      <c r="A126" s="5" t="s">
        <v>12</v>
      </c>
      <c r="B126" s="6">
        <v>4.1000000000000002E-2</v>
      </c>
      <c r="C126" s="48">
        <v>25</v>
      </c>
      <c r="D126" s="49"/>
      <c r="E126" s="50">
        <f t="shared" si="16"/>
        <v>25.105263157894736</v>
      </c>
      <c r="F126" s="51"/>
      <c r="G126" s="35"/>
      <c r="I126" s="18">
        <f t="shared" si="15"/>
        <v>2.5000000000000001E-5</v>
      </c>
      <c r="J126" s="18">
        <f t="shared" si="18"/>
        <v>1.550135E-3</v>
      </c>
      <c r="K126" s="21">
        <f t="shared" si="17"/>
        <v>1.550135</v>
      </c>
    </row>
    <row r="127" spans="1:11" x14ac:dyDescent="0.25">
      <c r="A127" s="5" t="s">
        <v>3</v>
      </c>
      <c r="B127" s="6">
        <v>8.3000000000000004E-2</v>
      </c>
      <c r="C127" s="48">
        <v>50</v>
      </c>
      <c r="D127" s="49"/>
      <c r="E127" s="50">
        <f t="shared" si="16"/>
        <v>47.210526315789473</v>
      </c>
      <c r="F127" s="51"/>
      <c r="G127" s="35"/>
      <c r="I127" s="18">
        <f t="shared" si="15"/>
        <v>5.0000000000000002E-5</v>
      </c>
      <c r="J127" s="18">
        <f t="shared" si="18"/>
        <v>3.10027E-3</v>
      </c>
      <c r="K127" s="21">
        <f t="shared" si="17"/>
        <v>3.1002700000000001</v>
      </c>
    </row>
    <row r="128" spans="1:11" x14ac:dyDescent="0.25">
      <c r="A128" s="5" t="s">
        <v>4</v>
      </c>
      <c r="B128" s="6">
        <v>0.17499999999999999</v>
      </c>
      <c r="C128" s="48">
        <v>100</v>
      </c>
      <c r="D128" s="49"/>
      <c r="E128" s="50">
        <f t="shared" si="16"/>
        <v>95.631578947368425</v>
      </c>
      <c r="F128" s="51"/>
      <c r="G128" s="35"/>
      <c r="I128" s="18">
        <f t="shared" si="15"/>
        <v>1E-4</v>
      </c>
      <c r="J128" s="18">
        <f t="shared" si="18"/>
        <v>6.20054E-3</v>
      </c>
      <c r="K128" s="21">
        <f t="shared" si="17"/>
        <v>6.2005400000000002</v>
      </c>
    </row>
    <row r="129" spans="1:11" x14ac:dyDescent="0.25">
      <c r="A129" s="5" t="s">
        <v>5</v>
      </c>
      <c r="B129" s="6">
        <v>0.375</v>
      </c>
      <c r="C129" s="48">
        <v>200</v>
      </c>
      <c r="D129" s="49"/>
      <c r="E129" s="50">
        <f t="shared" si="16"/>
        <v>200.89473684210526</v>
      </c>
      <c r="F129" s="51"/>
      <c r="G129" s="35"/>
      <c r="I129" s="18">
        <f t="shared" si="15"/>
        <v>2.0000000000000001E-4</v>
      </c>
      <c r="J129" s="18">
        <f t="shared" si="18"/>
        <v>1.240108E-2</v>
      </c>
      <c r="K129" s="21">
        <f t="shared" si="17"/>
        <v>12.40108</v>
      </c>
    </row>
    <row r="130" spans="1:11" ht="15.75" thickBot="1" x14ac:dyDescent="0.3">
      <c r="A130" s="7" t="s">
        <v>6</v>
      </c>
      <c r="B130" s="8">
        <v>0.91500000000000004</v>
      </c>
      <c r="C130" s="52">
        <v>500</v>
      </c>
      <c r="D130" s="53"/>
      <c r="E130" s="54">
        <f t="shared" si="16"/>
        <v>485.1052631578948</v>
      </c>
      <c r="F130" s="55"/>
      <c r="G130" s="35"/>
      <c r="I130" s="19">
        <f t="shared" si="15"/>
        <v>5.0000000000000001E-4</v>
      </c>
      <c r="J130" s="19">
        <f t="shared" si="18"/>
        <v>3.1002700000000001E-2</v>
      </c>
      <c r="K130" s="22">
        <f t="shared" si="17"/>
        <v>31.002700000000001</v>
      </c>
    </row>
    <row r="131" spans="1:11" x14ac:dyDescent="0.25">
      <c r="A131" s="41" t="s">
        <v>77</v>
      </c>
      <c r="B131" s="9">
        <v>1.0999999999999999E-2</v>
      </c>
      <c r="C131" s="72"/>
      <c r="D131" s="78"/>
      <c r="E131" s="64">
        <f t="shared" si="16"/>
        <v>9.3157894736842106</v>
      </c>
      <c r="F131" s="65"/>
      <c r="G131" s="35"/>
      <c r="I131" s="18">
        <f>E131/1000000</f>
        <v>9.3157894736842104E-6</v>
      </c>
      <c r="J131" s="18">
        <f>$K$118*I131*$K$119</f>
        <v>5.776292526315789E-7</v>
      </c>
      <c r="K131" s="21">
        <f t="shared" ref="K131:K138" si="19">J131*1000000</f>
        <v>0.57762925263157894</v>
      </c>
    </row>
    <row r="132" spans="1:11" x14ac:dyDescent="0.25">
      <c r="A132" s="5" t="s">
        <v>78</v>
      </c>
      <c r="B132" s="6">
        <v>0</v>
      </c>
      <c r="C132" s="48"/>
      <c r="D132" s="49"/>
      <c r="E132" s="50">
        <v>0</v>
      </c>
      <c r="F132" s="51"/>
      <c r="G132" s="35"/>
      <c r="I132" s="18">
        <f>E132/1000000</f>
        <v>0</v>
      </c>
      <c r="J132" s="18">
        <f t="shared" ref="J132:J138" si="20">$K$118*I132*$K$119</f>
        <v>0</v>
      </c>
      <c r="K132" s="21">
        <f t="shared" si="19"/>
        <v>0</v>
      </c>
    </row>
    <row r="133" spans="1:11" x14ac:dyDescent="0.25">
      <c r="A133" s="5" t="s">
        <v>79</v>
      </c>
      <c r="B133" s="6">
        <v>0</v>
      </c>
      <c r="C133" s="48"/>
      <c r="D133" s="49"/>
      <c r="E133" s="50">
        <v>0</v>
      </c>
      <c r="F133" s="51"/>
      <c r="G133" s="35"/>
      <c r="I133" s="18">
        <f t="shared" ref="I133:I138" si="21">E133/1000000</f>
        <v>0</v>
      </c>
      <c r="J133" s="18">
        <f t="shared" si="20"/>
        <v>0</v>
      </c>
      <c r="K133" s="21">
        <f t="shared" si="19"/>
        <v>0</v>
      </c>
    </row>
    <row r="134" spans="1:11" x14ac:dyDescent="0.25">
      <c r="A134" s="5" t="s">
        <v>80</v>
      </c>
      <c r="B134" s="6">
        <v>0</v>
      </c>
      <c r="C134" s="48"/>
      <c r="D134" s="49"/>
      <c r="E134" s="50">
        <v>0</v>
      </c>
      <c r="F134" s="51"/>
      <c r="G134" s="35"/>
      <c r="I134" s="18">
        <f t="shared" si="21"/>
        <v>0</v>
      </c>
      <c r="J134" s="18">
        <f t="shared" si="20"/>
        <v>0</v>
      </c>
      <c r="K134" s="21">
        <f t="shared" si="19"/>
        <v>0</v>
      </c>
    </row>
    <row r="135" spans="1:11" x14ac:dyDescent="0.25">
      <c r="A135" s="5" t="s">
        <v>81</v>
      </c>
      <c r="B135" s="6">
        <v>0</v>
      </c>
      <c r="C135" s="48"/>
      <c r="D135" s="49"/>
      <c r="E135" s="50">
        <v>0</v>
      </c>
      <c r="F135" s="51"/>
      <c r="G135" s="35"/>
      <c r="I135" s="18">
        <f t="shared" si="21"/>
        <v>0</v>
      </c>
      <c r="J135" s="18">
        <f t="shared" si="20"/>
        <v>0</v>
      </c>
      <c r="K135" s="21">
        <f t="shared" si="19"/>
        <v>0</v>
      </c>
    </row>
    <row r="136" spans="1:11" x14ac:dyDescent="0.25">
      <c r="A136" s="5" t="s">
        <v>82</v>
      </c>
      <c r="B136" s="6">
        <v>1.7999999999999999E-2</v>
      </c>
      <c r="C136" s="48"/>
      <c r="D136" s="49"/>
      <c r="E136" s="50">
        <f t="shared" si="16"/>
        <v>13</v>
      </c>
      <c r="F136" s="51"/>
      <c r="G136" s="35"/>
      <c r="I136" s="18">
        <f t="shared" si="21"/>
        <v>1.2999999999999999E-5</v>
      </c>
      <c r="J136" s="18">
        <f t="shared" si="20"/>
        <v>8.060702E-7</v>
      </c>
      <c r="K136" s="21">
        <f t="shared" si="19"/>
        <v>0.80607019999999996</v>
      </c>
    </row>
    <row r="137" spans="1:11" x14ac:dyDescent="0.25">
      <c r="A137" s="5" t="s">
        <v>83</v>
      </c>
      <c r="B137" s="6">
        <v>2.8000000000000001E-2</v>
      </c>
      <c r="C137" s="48"/>
      <c r="D137" s="49"/>
      <c r="E137" s="50">
        <f t="shared" si="16"/>
        <v>18.263157894736842</v>
      </c>
      <c r="F137" s="51"/>
      <c r="G137" s="35"/>
      <c r="I137" s="18">
        <f t="shared" si="21"/>
        <v>1.8263157894736844E-5</v>
      </c>
      <c r="J137" s="18">
        <f t="shared" si="20"/>
        <v>1.1324144105263159E-6</v>
      </c>
      <c r="K137" s="21">
        <f t="shared" si="19"/>
        <v>1.1324144105263159</v>
      </c>
    </row>
    <row r="138" spans="1:11" ht="15.75" thickBot="1" x14ac:dyDescent="0.3">
      <c r="A138" s="7" t="s">
        <v>84</v>
      </c>
      <c r="B138" s="8">
        <v>2.7E-2</v>
      </c>
      <c r="C138" s="52"/>
      <c r="D138" s="53"/>
      <c r="E138" s="54">
        <f t="shared" si="16"/>
        <v>17.736842105263158</v>
      </c>
      <c r="F138" s="55"/>
      <c r="G138" s="35"/>
      <c r="I138" s="18">
        <f t="shared" si="21"/>
        <v>1.7736842105263157E-5</v>
      </c>
      <c r="J138" s="18">
        <f t="shared" si="20"/>
        <v>1.0997799894736841E-6</v>
      </c>
      <c r="K138" s="21">
        <f t="shared" si="19"/>
        <v>1.0997799894736842</v>
      </c>
    </row>
  </sheetData>
  <mergeCells count="88">
    <mergeCell ref="C57:D57"/>
    <mergeCell ref="E57:F57"/>
    <mergeCell ref="A1:H1"/>
    <mergeCell ref="C55:D55"/>
    <mergeCell ref="E55:F55"/>
    <mergeCell ref="C56:D56"/>
    <mergeCell ref="E56:F56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E104:F104"/>
    <mergeCell ref="C67:D67"/>
    <mergeCell ref="E67:F67"/>
    <mergeCell ref="C68:D68"/>
    <mergeCell ref="E68:F68"/>
    <mergeCell ref="C69:D69"/>
    <mergeCell ref="E69:F69"/>
    <mergeCell ref="C70:D70"/>
    <mergeCell ref="E70:F70"/>
    <mergeCell ref="E101:F101"/>
    <mergeCell ref="E102:F102"/>
    <mergeCell ref="E103:F103"/>
    <mergeCell ref="E105:F105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25:D125"/>
    <mergeCell ref="E125:F125"/>
    <mergeCell ref="C112:D112"/>
    <mergeCell ref="E112:F112"/>
    <mergeCell ref="C113:D113"/>
    <mergeCell ref="E113:F113"/>
    <mergeCell ref="C114:D114"/>
    <mergeCell ref="E114:F114"/>
    <mergeCell ref="A120:H120"/>
    <mergeCell ref="C123:D123"/>
    <mergeCell ref="E123:F123"/>
    <mergeCell ref="C124:D124"/>
    <mergeCell ref="E124:F124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8:D138"/>
    <mergeCell ref="E138:F138"/>
    <mergeCell ref="C135:D135"/>
    <mergeCell ref="E135:F135"/>
    <mergeCell ref="C136:D136"/>
    <mergeCell ref="E136:F136"/>
    <mergeCell ref="C137:D137"/>
    <mergeCell ref="E137:F137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9"/>
  <sheetViews>
    <sheetView topLeftCell="A121" zoomScaleNormal="100" zoomScalePageLayoutView="85" workbookViewId="0">
      <selection activeCell="K132" activeCellId="1" sqref="A132:A139 K132:K139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70" t="s">
        <v>26</v>
      </c>
      <c r="B1" s="70"/>
      <c r="C1" s="70"/>
      <c r="D1" s="70"/>
      <c r="E1" s="70"/>
      <c r="F1" s="70"/>
      <c r="G1" s="70"/>
      <c r="H1" s="70"/>
      <c r="I1" s="1"/>
    </row>
    <row r="2" spans="1:9" s="25" customFormat="1" x14ac:dyDescent="0.25">
      <c r="A2" s="25" t="s">
        <v>67</v>
      </c>
    </row>
    <row r="3" spans="1:9" s="25" customFormat="1" x14ac:dyDescent="0.25"/>
    <row r="4" spans="1:9" s="25" customFormat="1" x14ac:dyDescent="0.25">
      <c r="A4" s="26">
        <v>45901</v>
      </c>
    </row>
    <row r="5" spans="1:9" s="25" customFormat="1" x14ac:dyDescent="0.25">
      <c r="A5" s="25" t="s">
        <v>62</v>
      </c>
    </row>
    <row r="6" spans="1:9" s="25" customFormat="1" x14ac:dyDescent="0.25">
      <c r="A6" s="25" t="s">
        <v>31</v>
      </c>
    </row>
    <row r="7" spans="1:9" s="25" customFormat="1" x14ac:dyDescent="0.25">
      <c r="A7" s="25" t="s">
        <v>68</v>
      </c>
    </row>
    <row r="8" spans="1:9" s="25" customFormat="1" x14ac:dyDescent="0.25">
      <c r="A8" s="25" t="s">
        <v>88</v>
      </c>
    </row>
    <row r="9" spans="1:9" s="25" customFormat="1" x14ac:dyDescent="0.25">
      <c r="A9" s="25" t="s">
        <v>37</v>
      </c>
    </row>
    <row r="10" spans="1:9" s="25" customFormat="1" x14ac:dyDescent="0.25">
      <c r="B10" s="34" t="s">
        <v>38</v>
      </c>
      <c r="C10" s="25" t="s">
        <v>69</v>
      </c>
    </row>
    <row r="11" spans="1:9" s="25" customFormat="1" x14ac:dyDescent="0.25">
      <c r="B11" s="34" t="s">
        <v>39</v>
      </c>
      <c r="C11" s="25" t="s">
        <v>70</v>
      </c>
    </row>
    <row r="12" spans="1:9" s="25" customFormat="1" x14ac:dyDescent="0.25">
      <c r="B12" s="34" t="s">
        <v>40</v>
      </c>
      <c r="C12" s="25" t="s">
        <v>71</v>
      </c>
    </row>
    <row r="13" spans="1:9" s="25" customFormat="1" x14ac:dyDescent="0.25">
      <c r="B13" s="34" t="s">
        <v>41</v>
      </c>
      <c r="C13" s="25" t="s">
        <v>72</v>
      </c>
    </row>
    <row r="14" spans="1:9" s="25" customFormat="1" x14ac:dyDescent="0.25">
      <c r="B14" s="34" t="s">
        <v>42</v>
      </c>
      <c r="C14" s="25" t="s">
        <v>73</v>
      </c>
    </row>
    <row r="15" spans="1:9" s="25" customFormat="1" x14ac:dyDescent="0.25">
      <c r="B15" s="34" t="s">
        <v>43</v>
      </c>
      <c r="C15" s="25" t="s">
        <v>74</v>
      </c>
    </row>
    <row r="16" spans="1:9" s="25" customFormat="1" x14ac:dyDescent="0.25">
      <c r="B16" s="34" t="s">
        <v>44</v>
      </c>
      <c r="C16" s="25" t="s">
        <v>75</v>
      </c>
    </row>
    <row r="17" spans="1:3" s="25" customFormat="1" x14ac:dyDescent="0.25">
      <c r="B17" s="34" t="s">
        <v>45</v>
      </c>
      <c r="C17" s="25" t="s">
        <v>76</v>
      </c>
    </row>
    <row r="18" spans="1:3" s="25" customFormat="1" x14ac:dyDescent="0.25">
      <c r="A18" s="25" t="s">
        <v>85</v>
      </c>
    </row>
    <row r="19" spans="1:3" s="25" customFormat="1" x14ac:dyDescent="0.25">
      <c r="A19" s="25" t="s">
        <v>87</v>
      </c>
    </row>
    <row r="20" spans="1:3" s="25" customFormat="1" x14ac:dyDescent="0.25">
      <c r="A20" s="25" t="s">
        <v>86</v>
      </c>
    </row>
    <row r="21" spans="1:3" s="25" customFormat="1" x14ac:dyDescent="0.25">
      <c r="A21" s="25" t="s">
        <v>57</v>
      </c>
    </row>
    <row r="22" spans="1:3" s="25" customFormat="1" x14ac:dyDescent="0.25">
      <c r="A22" s="25" t="s">
        <v>58</v>
      </c>
    </row>
    <row r="23" spans="1:3" s="25" customFormat="1" x14ac:dyDescent="0.25">
      <c r="A23" s="25" t="s">
        <v>59</v>
      </c>
    </row>
    <row r="24" spans="1:3" s="25" customFormat="1" x14ac:dyDescent="0.25">
      <c r="A24" s="25" t="s">
        <v>60</v>
      </c>
    </row>
    <row r="50" spans="1:11" x14ac:dyDescent="0.25">
      <c r="H50" t="s">
        <v>24</v>
      </c>
      <c r="J50">
        <v>18.038460000000001</v>
      </c>
      <c r="K50" t="s">
        <v>14</v>
      </c>
    </row>
    <row r="51" spans="1:11" x14ac:dyDescent="0.25">
      <c r="H51" t="s">
        <v>16</v>
      </c>
      <c r="J51">
        <v>1E-3</v>
      </c>
      <c r="K51" t="s">
        <v>17</v>
      </c>
    </row>
    <row r="52" spans="1:11" ht="15.75" thickBot="1" x14ac:dyDescent="0.3"/>
    <row r="53" spans="1:11" x14ac:dyDescent="0.25">
      <c r="H53" s="16" t="s">
        <v>22</v>
      </c>
      <c r="I53" s="20" t="s">
        <v>19</v>
      </c>
      <c r="J53" s="20" t="s">
        <v>20</v>
      </c>
    </row>
    <row r="54" spans="1:11" ht="15.75" thickBot="1" x14ac:dyDescent="0.3">
      <c r="H54" s="17" t="s">
        <v>15</v>
      </c>
      <c r="I54" s="17" t="s">
        <v>18</v>
      </c>
      <c r="J54" s="17" t="s">
        <v>21</v>
      </c>
    </row>
    <row r="55" spans="1:11" ht="15.75" thickBot="1" x14ac:dyDescent="0.3">
      <c r="A55" s="28" t="s">
        <v>0</v>
      </c>
      <c r="B55" s="29" t="s">
        <v>1</v>
      </c>
      <c r="C55" s="29" t="s">
        <v>2</v>
      </c>
      <c r="D55" s="29"/>
      <c r="E55" s="29" t="s">
        <v>13</v>
      </c>
      <c r="F55" s="30"/>
      <c r="H55" s="16"/>
      <c r="I55" s="20" t="s">
        <v>23</v>
      </c>
      <c r="J55" s="16"/>
    </row>
    <row r="56" spans="1:11" x14ac:dyDescent="0.25">
      <c r="A56" s="3" t="s">
        <v>34</v>
      </c>
      <c r="B56" s="4"/>
      <c r="C56" s="77">
        <v>1</v>
      </c>
      <c r="D56" s="77"/>
      <c r="E56" s="68">
        <v>0</v>
      </c>
      <c r="F56" s="69"/>
      <c r="H56" s="18"/>
      <c r="I56" s="27"/>
      <c r="J56" s="18"/>
    </row>
    <row r="57" spans="1:11" x14ac:dyDescent="0.25">
      <c r="A57" s="5" t="s">
        <v>35</v>
      </c>
      <c r="B57" s="6"/>
      <c r="C57" s="76">
        <v>2.5</v>
      </c>
      <c r="D57" s="76"/>
      <c r="E57" s="57">
        <f>(B57+0.0048)/0.0096</f>
        <v>0.5</v>
      </c>
      <c r="F57" s="58"/>
      <c r="H57" s="18"/>
      <c r="I57" s="27"/>
      <c r="J57" s="18"/>
    </row>
    <row r="58" spans="1:11" x14ac:dyDescent="0.25">
      <c r="A58" s="5" t="s">
        <v>7</v>
      </c>
      <c r="B58" s="6">
        <v>3.5999999999999997E-2</v>
      </c>
      <c r="C58" s="76">
        <v>5</v>
      </c>
      <c r="D58" s="76"/>
      <c r="E58" s="57">
        <f>(B58+0.0048)/0.0096</f>
        <v>4.25</v>
      </c>
      <c r="F58" s="58"/>
      <c r="H58" s="18">
        <f>C58/1000000</f>
        <v>5.0000000000000004E-6</v>
      </c>
      <c r="I58" s="18">
        <f>$J$50*H58</f>
        <v>9.0192300000000014E-5</v>
      </c>
      <c r="J58" s="21">
        <f>I58*1000</f>
        <v>9.0192300000000017E-2</v>
      </c>
    </row>
    <row r="59" spans="1:11" x14ac:dyDescent="0.25">
      <c r="A59" s="5" t="s">
        <v>8</v>
      </c>
      <c r="B59" s="6">
        <v>0.08</v>
      </c>
      <c r="C59" s="76">
        <v>10</v>
      </c>
      <c r="D59" s="76"/>
      <c r="E59" s="57">
        <f t="shared" ref="E59:E62" si="0">(B59+0.0048)/0.0096</f>
        <v>8.8333333333333339</v>
      </c>
      <c r="F59" s="58"/>
      <c r="H59" s="18">
        <f>C59/1000000</f>
        <v>1.0000000000000001E-5</v>
      </c>
      <c r="I59" s="18">
        <f t="shared" ref="I59:I63" si="1">$J$50*H59</f>
        <v>1.8038460000000003E-4</v>
      </c>
      <c r="J59" s="21">
        <f t="shared" ref="J59:J63" si="2">I59*1000</f>
        <v>0.18038460000000003</v>
      </c>
    </row>
    <row r="60" spans="1:11" x14ac:dyDescent="0.25">
      <c r="A60" s="5" t="s">
        <v>36</v>
      </c>
      <c r="B60" s="6"/>
      <c r="C60" s="76">
        <v>25</v>
      </c>
      <c r="D60" s="76"/>
      <c r="E60" s="57">
        <f t="shared" si="0"/>
        <v>0.5</v>
      </c>
      <c r="F60" s="58"/>
      <c r="H60" s="18"/>
      <c r="I60" s="18"/>
      <c r="J60" s="21"/>
    </row>
    <row r="61" spans="1:11" x14ac:dyDescent="0.25">
      <c r="A61" s="5" t="s">
        <v>3</v>
      </c>
      <c r="B61" s="6">
        <v>0.48399999999999999</v>
      </c>
      <c r="C61" s="76">
        <v>50</v>
      </c>
      <c r="D61" s="76"/>
      <c r="E61" s="57">
        <f t="shared" si="0"/>
        <v>50.916666666666671</v>
      </c>
      <c r="F61" s="58"/>
      <c r="H61" s="18">
        <f>C61/1000000</f>
        <v>5.0000000000000002E-5</v>
      </c>
      <c r="I61" s="18">
        <f t="shared" si="1"/>
        <v>9.0192300000000011E-4</v>
      </c>
      <c r="J61" s="21">
        <f t="shared" si="2"/>
        <v>0.90192300000000014</v>
      </c>
    </row>
    <row r="62" spans="1:11" x14ac:dyDescent="0.25">
      <c r="A62" s="5" t="s">
        <v>4</v>
      </c>
      <c r="B62" s="6">
        <v>0.97299999999999998</v>
      </c>
      <c r="C62" s="76">
        <v>100</v>
      </c>
      <c r="D62" s="76"/>
      <c r="E62" s="57">
        <f t="shared" si="0"/>
        <v>101.85416666666667</v>
      </c>
      <c r="F62" s="58"/>
      <c r="H62" s="18">
        <f>C62/1000000</f>
        <v>1E-4</v>
      </c>
      <c r="I62" s="18">
        <f t="shared" si="1"/>
        <v>1.8038460000000002E-3</v>
      </c>
      <c r="J62" s="21">
        <f t="shared" si="2"/>
        <v>1.8038460000000003</v>
      </c>
    </row>
    <row r="63" spans="1:11" ht="15.75" thickBot="1" x14ac:dyDescent="0.3">
      <c r="A63" s="7" t="s">
        <v>5</v>
      </c>
      <c r="B63" s="8">
        <v>1.899</v>
      </c>
      <c r="C63" s="52">
        <v>200</v>
      </c>
      <c r="D63" s="53"/>
      <c r="E63" s="60">
        <f t="shared" ref="E63" si="3">(B63+0.0048)/0.0096</f>
        <v>198.3125</v>
      </c>
      <c r="F63" s="61"/>
      <c r="H63" s="19">
        <f>C63/1000000</f>
        <v>2.0000000000000001E-4</v>
      </c>
      <c r="I63" s="19">
        <f t="shared" si="1"/>
        <v>3.6076920000000005E-3</v>
      </c>
      <c r="J63" s="22">
        <f t="shared" si="2"/>
        <v>3.6076920000000006</v>
      </c>
    </row>
    <row r="64" spans="1:11" x14ac:dyDescent="0.25">
      <c r="A64" s="41" t="s">
        <v>69</v>
      </c>
      <c r="B64" s="9">
        <v>1.25</v>
      </c>
      <c r="C64" s="72"/>
      <c r="D64" s="73"/>
      <c r="E64" s="74">
        <f t="shared" ref="E64" si="4">(B64+0.0048)/0.0096</f>
        <v>130.70833333333334</v>
      </c>
      <c r="F64" s="75"/>
      <c r="H64" s="18">
        <f t="shared" ref="H64:H71" si="5">E64/1000000</f>
        <v>1.3070833333333334E-4</v>
      </c>
      <c r="I64" s="18">
        <f>$J$50*H64*$J$51</f>
        <v>2.3577770425000002E-6</v>
      </c>
      <c r="J64" s="21">
        <f>I64*1000000</f>
        <v>2.3577770425000004</v>
      </c>
    </row>
    <row r="65" spans="1:10" x14ac:dyDescent="0.25">
      <c r="A65" s="5" t="s">
        <v>70</v>
      </c>
      <c r="B65" s="6">
        <v>1E-3</v>
      </c>
      <c r="C65" s="48"/>
      <c r="D65" s="56"/>
      <c r="E65" s="74">
        <f t="shared" ref="E65:E71" si="6">(B65+0.0048)/0.0096</f>
        <v>0.60416666666666663</v>
      </c>
      <c r="F65" s="75"/>
      <c r="H65" s="18">
        <f t="shared" si="5"/>
        <v>6.0416666666666667E-7</v>
      </c>
      <c r="I65" s="18">
        <f t="shared" ref="I65:I71" si="7">$J$50*H65*$J$51</f>
        <v>1.0898236250000001E-8</v>
      </c>
      <c r="J65" s="21">
        <f t="shared" ref="J65:J71" si="8">I65*1000000</f>
        <v>1.089823625E-2</v>
      </c>
    </row>
    <row r="66" spans="1:10" x14ac:dyDescent="0.25">
      <c r="A66" s="5" t="s">
        <v>71</v>
      </c>
      <c r="B66" s="6">
        <v>5.0000000000000001E-3</v>
      </c>
      <c r="C66" s="48"/>
      <c r="D66" s="56"/>
      <c r="E66" s="74">
        <f t="shared" si="6"/>
        <v>1.0208333333333335</v>
      </c>
      <c r="F66" s="75"/>
      <c r="H66" s="18">
        <f t="shared" si="5"/>
        <v>1.0208333333333334E-6</v>
      </c>
      <c r="I66" s="18">
        <f t="shared" si="7"/>
        <v>1.8414261250000003E-8</v>
      </c>
      <c r="J66" s="21">
        <f t="shared" si="8"/>
        <v>1.8414261250000005E-2</v>
      </c>
    </row>
    <row r="67" spans="1:10" x14ac:dyDescent="0.25">
      <c r="A67" s="5" t="s">
        <v>72</v>
      </c>
      <c r="B67" s="6">
        <v>8.0000000000000002E-3</v>
      </c>
      <c r="C67" s="48"/>
      <c r="D67" s="56"/>
      <c r="E67" s="74">
        <f t="shared" si="6"/>
        <v>1.3333333333333333</v>
      </c>
      <c r="F67" s="75"/>
      <c r="H67" s="18">
        <f t="shared" si="5"/>
        <v>1.3333333333333332E-6</v>
      </c>
      <c r="I67" s="18">
        <f t="shared" si="7"/>
        <v>2.4051280000000001E-8</v>
      </c>
      <c r="J67" s="21">
        <f t="shared" si="8"/>
        <v>2.4051280000000001E-2</v>
      </c>
    </row>
    <row r="68" spans="1:10" x14ac:dyDescent="0.25">
      <c r="A68" s="5" t="s">
        <v>73</v>
      </c>
      <c r="B68" s="6">
        <v>1.4E-2</v>
      </c>
      <c r="C68" s="48"/>
      <c r="D68" s="56"/>
      <c r="E68" s="74">
        <f t="shared" si="6"/>
        <v>1.9583333333333335</v>
      </c>
      <c r="F68" s="75"/>
      <c r="H68" s="18">
        <f t="shared" si="5"/>
        <v>1.9583333333333334E-6</v>
      </c>
      <c r="I68" s="18">
        <f t="shared" si="7"/>
        <v>3.5325317500000007E-8</v>
      </c>
      <c r="J68" s="21">
        <f t="shared" si="8"/>
        <v>3.5325317500000009E-2</v>
      </c>
    </row>
    <row r="69" spans="1:10" x14ac:dyDescent="0.25">
      <c r="A69" s="5" t="s">
        <v>74</v>
      </c>
      <c r="B69" s="6">
        <v>2.4E-2</v>
      </c>
      <c r="C69" s="48"/>
      <c r="D69" s="56"/>
      <c r="E69" s="74">
        <f t="shared" si="6"/>
        <v>3</v>
      </c>
      <c r="F69" s="75"/>
      <c r="H69" s="18">
        <f t="shared" si="5"/>
        <v>3.0000000000000001E-6</v>
      </c>
      <c r="I69" s="18">
        <f t="shared" si="7"/>
        <v>5.4115380000000007E-8</v>
      </c>
      <c r="J69" s="21">
        <f t="shared" si="8"/>
        <v>5.4115380000000005E-2</v>
      </c>
    </row>
    <row r="70" spans="1:10" x14ac:dyDescent="0.25">
      <c r="A70" s="5" t="s">
        <v>75</v>
      </c>
      <c r="B70" s="6">
        <v>4.1000000000000002E-2</v>
      </c>
      <c r="C70" s="48"/>
      <c r="D70" s="56"/>
      <c r="E70" s="74">
        <f t="shared" si="6"/>
        <v>4.7708333333333339</v>
      </c>
      <c r="F70" s="75"/>
      <c r="H70" s="18">
        <f t="shared" si="5"/>
        <v>4.7708333333333335E-6</v>
      </c>
      <c r="I70" s="18">
        <f t="shared" si="7"/>
        <v>8.6058486250000006E-8</v>
      </c>
      <c r="J70" s="21">
        <f t="shared" si="8"/>
        <v>8.605848625000001E-2</v>
      </c>
    </row>
    <row r="71" spans="1:10" ht="15.75" thickBot="1" x14ac:dyDescent="0.3">
      <c r="A71" s="7" t="s">
        <v>76</v>
      </c>
      <c r="B71" s="8">
        <v>0.311</v>
      </c>
      <c r="C71" s="52"/>
      <c r="D71" s="59"/>
      <c r="E71" s="81">
        <f t="shared" si="6"/>
        <v>32.895833333333336</v>
      </c>
      <c r="F71" s="82"/>
      <c r="H71" s="18">
        <f t="shared" si="5"/>
        <v>3.2895833333333338E-5</v>
      </c>
      <c r="I71" s="18">
        <f t="shared" si="7"/>
        <v>5.9339017375000018E-7</v>
      </c>
      <c r="J71" s="21">
        <f t="shared" si="8"/>
        <v>0.59339017375000014</v>
      </c>
    </row>
    <row r="97" spans="1:12" x14ac:dyDescent="0.25">
      <c r="I97" t="s">
        <v>25</v>
      </c>
      <c r="K97">
        <v>94.972999999999999</v>
      </c>
    </row>
    <row r="98" spans="1:12" x14ac:dyDescent="0.25">
      <c r="I98" t="s">
        <v>16</v>
      </c>
      <c r="K98">
        <v>1E-3</v>
      </c>
      <c r="L98" t="s">
        <v>14</v>
      </c>
    </row>
    <row r="99" spans="1:12" ht="15.75" thickBot="1" x14ac:dyDescent="0.3">
      <c r="L99" t="s">
        <v>17</v>
      </c>
    </row>
    <row r="100" spans="1:12" ht="15.75" thickBot="1" x14ac:dyDescent="0.3">
      <c r="I100" s="16" t="s">
        <v>22</v>
      </c>
      <c r="J100" s="20" t="s">
        <v>19</v>
      </c>
      <c r="K100" s="20" t="s">
        <v>20</v>
      </c>
    </row>
    <row r="101" spans="1:12" ht="15.75" thickBot="1" x14ac:dyDescent="0.3">
      <c r="A101" s="28" t="s">
        <v>0</v>
      </c>
      <c r="B101" s="29" t="s">
        <v>1</v>
      </c>
      <c r="C101" s="29" t="s">
        <v>2</v>
      </c>
      <c r="D101" s="29"/>
      <c r="E101" s="29" t="s">
        <v>13</v>
      </c>
      <c r="F101" s="30"/>
      <c r="I101" s="17" t="s">
        <v>15</v>
      </c>
      <c r="J101" s="17" t="s">
        <v>18</v>
      </c>
      <c r="K101" s="17" t="s">
        <v>21</v>
      </c>
    </row>
    <row r="102" spans="1:12" x14ac:dyDescent="0.25">
      <c r="A102" s="3" t="s">
        <v>9</v>
      </c>
      <c r="B102" s="4">
        <v>1.0999999999999999E-2</v>
      </c>
      <c r="C102" s="10">
        <v>0.5</v>
      </c>
      <c r="D102" s="11"/>
      <c r="E102" s="68">
        <f>(B102+0.001)/0.0211</f>
        <v>0.56872037914691942</v>
      </c>
      <c r="F102" s="69"/>
      <c r="I102" s="16">
        <f t="shared" ref="I102:I107" si="9">C102/1000000</f>
        <v>4.9999999999999998E-7</v>
      </c>
      <c r="J102" s="16">
        <f t="shared" ref="J102:J107" si="10">$K$97*I102</f>
        <v>4.74865E-5</v>
      </c>
      <c r="K102" s="23">
        <f>J102*1000</f>
        <v>4.7486500000000001E-2</v>
      </c>
    </row>
    <row r="103" spans="1:12" x14ac:dyDescent="0.25">
      <c r="A103" s="5" t="s">
        <v>10</v>
      </c>
      <c r="B103" s="6">
        <v>2.1000000000000001E-2</v>
      </c>
      <c r="C103" s="12">
        <v>1</v>
      </c>
      <c r="D103" s="13"/>
      <c r="E103" s="57">
        <f t="shared" ref="E103:E107" si="11">(B103+0.001)/0.0211</f>
        <v>1.0426540284360191</v>
      </c>
      <c r="F103" s="58"/>
      <c r="I103" s="18">
        <f t="shared" si="9"/>
        <v>9.9999999999999995E-7</v>
      </c>
      <c r="J103" s="18">
        <f t="shared" si="10"/>
        <v>9.4973E-5</v>
      </c>
      <c r="K103" s="21">
        <f t="shared" ref="K103:K107" si="12">J103*1000</f>
        <v>9.4973000000000002E-2</v>
      </c>
    </row>
    <row r="104" spans="1:12" x14ac:dyDescent="0.25">
      <c r="A104" s="5" t="s">
        <v>11</v>
      </c>
      <c r="B104" s="6">
        <v>0.105</v>
      </c>
      <c r="C104" s="12">
        <v>5</v>
      </c>
      <c r="D104" s="13"/>
      <c r="E104" s="57">
        <f t="shared" si="11"/>
        <v>5.0236966824644549</v>
      </c>
      <c r="F104" s="58"/>
      <c r="I104" s="18">
        <f t="shared" si="9"/>
        <v>5.0000000000000004E-6</v>
      </c>
      <c r="J104" s="18">
        <f t="shared" si="10"/>
        <v>4.7486500000000004E-4</v>
      </c>
      <c r="K104" s="21">
        <f t="shared" si="12"/>
        <v>0.47486500000000004</v>
      </c>
    </row>
    <row r="105" spans="1:12" x14ac:dyDescent="0.25">
      <c r="A105" s="5" t="s">
        <v>8</v>
      </c>
      <c r="B105" s="6">
        <v>0.216</v>
      </c>
      <c r="C105" s="12">
        <v>10</v>
      </c>
      <c r="D105" s="13"/>
      <c r="E105" s="57">
        <f t="shared" si="11"/>
        <v>10.284360189573459</v>
      </c>
      <c r="F105" s="58"/>
      <c r="I105" s="18">
        <f t="shared" si="9"/>
        <v>1.0000000000000001E-5</v>
      </c>
      <c r="J105" s="18">
        <f t="shared" si="10"/>
        <v>9.4973000000000008E-4</v>
      </c>
      <c r="K105" s="21">
        <f t="shared" si="12"/>
        <v>0.94973000000000007</v>
      </c>
    </row>
    <row r="106" spans="1:12" ht="15.75" thickBot="1" x14ac:dyDescent="0.3">
      <c r="A106" s="31" t="s">
        <v>12</v>
      </c>
      <c r="B106" s="2">
        <v>0.52600000000000002</v>
      </c>
      <c r="C106" s="32">
        <v>25</v>
      </c>
      <c r="D106" s="33"/>
      <c r="E106" s="57">
        <f t="shared" si="11"/>
        <v>24.976303317535546</v>
      </c>
      <c r="F106" s="58"/>
      <c r="I106" s="19">
        <f t="shared" si="9"/>
        <v>2.5000000000000001E-5</v>
      </c>
      <c r="J106" s="19">
        <f t="shared" si="10"/>
        <v>2.374325E-3</v>
      </c>
      <c r="K106" s="22">
        <f t="shared" si="12"/>
        <v>2.3743250000000002</v>
      </c>
    </row>
    <row r="107" spans="1:12" ht="15.75" thickBot="1" x14ac:dyDescent="0.3">
      <c r="A107" s="7" t="s">
        <v>3</v>
      </c>
      <c r="B107" s="8">
        <v>1.6539999999999999</v>
      </c>
      <c r="C107" s="14">
        <v>50</v>
      </c>
      <c r="D107" s="15"/>
      <c r="E107" s="60">
        <f t="shared" si="11"/>
        <v>78.436018957345965</v>
      </c>
      <c r="F107" s="61"/>
      <c r="I107" s="18">
        <f t="shared" si="9"/>
        <v>5.0000000000000002E-5</v>
      </c>
      <c r="J107" s="18">
        <f t="shared" si="10"/>
        <v>4.7486500000000001E-3</v>
      </c>
      <c r="K107" s="21">
        <f t="shared" si="12"/>
        <v>4.7486500000000005</v>
      </c>
    </row>
    <row r="108" spans="1:12" x14ac:dyDescent="0.25">
      <c r="A108" s="41" t="s">
        <v>69</v>
      </c>
      <c r="B108" s="9">
        <v>0</v>
      </c>
      <c r="C108" s="72"/>
      <c r="D108" s="73"/>
      <c r="E108" s="74">
        <f t="shared" ref="E108:E115" si="13">(B108+0.001)/0.0211</f>
        <v>4.7393364928909949E-2</v>
      </c>
      <c r="F108" s="75"/>
      <c r="I108" s="18">
        <f>E108/1000000</f>
        <v>4.7393364928909948E-8</v>
      </c>
      <c r="J108" s="18">
        <f>$J$50*I108*$K$98</f>
        <v>8.5490331753554494E-10</v>
      </c>
      <c r="K108" s="21">
        <f>J108*1000000</f>
        <v>8.5490331753554491E-4</v>
      </c>
    </row>
    <row r="109" spans="1:12" x14ac:dyDescent="0.25">
      <c r="A109" s="5" t="s">
        <v>70</v>
      </c>
      <c r="B109" s="6">
        <v>0</v>
      </c>
      <c r="C109" s="48"/>
      <c r="D109" s="56"/>
      <c r="E109" s="57">
        <f t="shared" si="13"/>
        <v>4.7393364928909949E-2</v>
      </c>
      <c r="F109" s="58"/>
      <c r="I109" s="18">
        <f t="shared" ref="I109:I115" si="14">E109/1000000</f>
        <v>4.7393364928909948E-8</v>
      </c>
      <c r="J109" s="18">
        <f t="shared" ref="J109:J115" si="15">$J$50*I109*$J$51</f>
        <v>8.5490331753554494E-10</v>
      </c>
      <c r="K109" s="21">
        <f>J109*1000000</f>
        <v>8.5490331753554491E-4</v>
      </c>
    </row>
    <row r="110" spans="1:12" x14ac:dyDescent="0.25">
      <c r="A110" s="5" t="s">
        <v>71</v>
      </c>
      <c r="B110" s="6">
        <v>0</v>
      </c>
      <c r="C110" s="48"/>
      <c r="D110" s="56"/>
      <c r="E110" s="57">
        <f t="shared" si="13"/>
        <v>4.7393364928909949E-2</v>
      </c>
      <c r="F110" s="58"/>
      <c r="I110" s="18">
        <f t="shared" si="14"/>
        <v>4.7393364928909948E-8</v>
      </c>
      <c r="J110" s="18">
        <f t="shared" si="15"/>
        <v>8.5490331753554494E-10</v>
      </c>
      <c r="K110" s="21">
        <f t="shared" ref="K110:K115" si="16">J110*1000000</f>
        <v>8.5490331753554491E-4</v>
      </c>
    </row>
    <row r="111" spans="1:12" x14ac:dyDescent="0.25">
      <c r="A111" s="5" t="s">
        <v>72</v>
      </c>
      <c r="B111" s="6">
        <v>0</v>
      </c>
      <c r="C111" s="48"/>
      <c r="D111" s="56"/>
      <c r="E111" s="57">
        <f t="shared" si="13"/>
        <v>4.7393364928909949E-2</v>
      </c>
      <c r="F111" s="58"/>
      <c r="I111" s="18">
        <f t="shared" si="14"/>
        <v>4.7393364928909948E-8</v>
      </c>
      <c r="J111" s="18">
        <f t="shared" si="15"/>
        <v>8.5490331753554494E-10</v>
      </c>
      <c r="K111" s="21">
        <f t="shared" si="16"/>
        <v>8.5490331753554491E-4</v>
      </c>
    </row>
    <row r="112" spans="1:12" x14ac:dyDescent="0.25">
      <c r="A112" s="5" t="s">
        <v>73</v>
      </c>
      <c r="B112" s="6">
        <v>1.4E-2</v>
      </c>
      <c r="C112" s="48"/>
      <c r="D112" s="56"/>
      <c r="E112" s="57">
        <f t="shared" si="13"/>
        <v>0.71090047393364919</v>
      </c>
      <c r="F112" s="58"/>
      <c r="I112" s="18">
        <f t="shared" si="14"/>
        <v>7.1090047393364923E-7</v>
      </c>
      <c r="J112" s="18">
        <f t="shared" si="15"/>
        <v>1.2823549763033176E-8</v>
      </c>
      <c r="K112" s="21">
        <f t="shared" si="16"/>
        <v>1.2823549763033177E-2</v>
      </c>
    </row>
    <row r="113" spans="1:11" x14ac:dyDescent="0.25">
      <c r="A113" s="5" t="s">
        <v>74</v>
      </c>
      <c r="B113" s="6">
        <v>8.9999999999999993E-3</v>
      </c>
      <c r="C113" s="48"/>
      <c r="D113" s="56"/>
      <c r="E113" s="57">
        <f t="shared" si="13"/>
        <v>0.47393364928909942</v>
      </c>
      <c r="F113" s="58"/>
      <c r="I113" s="18">
        <f t="shared" si="14"/>
        <v>4.7393364928909945E-7</v>
      </c>
      <c r="J113" s="18">
        <f t="shared" si="15"/>
        <v>8.549033175355449E-9</v>
      </c>
      <c r="K113" s="21">
        <f t="shared" si="16"/>
        <v>8.5490331753554482E-3</v>
      </c>
    </row>
    <row r="114" spans="1:11" x14ac:dyDescent="0.25">
      <c r="A114" s="5" t="s">
        <v>75</v>
      </c>
      <c r="B114" s="6">
        <v>3.9E-2</v>
      </c>
      <c r="C114" s="48"/>
      <c r="D114" s="56"/>
      <c r="E114" s="57">
        <f t="shared" si="13"/>
        <v>1.8957345971563981</v>
      </c>
      <c r="F114" s="58"/>
      <c r="I114" s="18">
        <f t="shared" si="14"/>
        <v>1.8957345971563982E-6</v>
      </c>
      <c r="J114" s="18">
        <f t="shared" si="15"/>
        <v>3.4196132701421809E-8</v>
      </c>
      <c r="K114" s="21">
        <f t="shared" si="16"/>
        <v>3.4196132701421807E-2</v>
      </c>
    </row>
    <row r="115" spans="1:11" ht="15.75" thickBot="1" x14ac:dyDescent="0.3">
      <c r="A115" s="7" t="s">
        <v>76</v>
      </c>
      <c r="B115" s="8">
        <v>6.0000000000000001E-3</v>
      </c>
      <c r="C115" s="52"/>
      <c r="D115" s="59"/>
      <c r="E115" s="60">
        <f t="shared" si="13"/>
        <v>0.33175355450236965</v>
      </c>
      <c r="F115" s="61"/>
      <c r="I115" s="18">
        <f t="shared" si="14"/>
        <v>3.3175355450236965E-7</v>
      </c>
      <c r="J115" s="18">
        <f t="shared" si="15"/>
        <v>5.9843232227488148E-9</v>
      </c>
      <c r="K115" s="21">
        <f t="shared" si="16"/>
        <v>5.9843232227488148E-3</v>
      </c>
    </row>
    <row r="118" spans="1:11" x14ac:dyDescent="0.25">
      <c r="I118" t="s">
        <v>25</v>
      </c>
      <c r="K118">
        <v>62.005400000000002</v>
      </c>
    </row>
    <row r="119" spans="1:11" x14ac:dyDescent="0.25">
      <c r="I119" t="s">
        <v>16</v>
      </c>
      <c r="K119">
        <v>1E-3</v>
      </c>
    </row>
    <row r="120" spans="1:11" x14ac:dyDescent="0.25">
      <c r="H120" s="24"/>
    </row>
    <row r="121" spans="1:11" ht="15.75" thickBot="1" x14ac:dyDescent="0.3">
      <c r="A121" s="70" t="s">
        <v>27</v>
      </c>
      <c r="B121" s="70"/>
      <c r="C121" s="70"/>
      <c r="D121" s="70"/>
      <c r="E121" s="70"/>
      <c r="F121" s="70"/>
      <c r="G121" s="70"/>
      <c r="H121" s="70"/>
    </row>
    <row r="122" spans="1:11" ht="15.75" thickBot="1" x14ac:dyDescent="0.3">
      <c r="I122" s="16" t="s">
        <v>22</v>
      </c>
      <c r="J122" s="20" t="s">
        <v>19</v>
      </c>
      <c r="K122" s="20" t="s">
        <v>20</v>
      </c>
    </row>
    <row r="123" spans="1:11" ht="15.75" thickBot="1" x14ac:dyDescent="0.3">
      <c r="A123" s="28" t="s">
        <v>0</v>
      </c>
      <c r="B123" s="29" t="s">
        <v>1</v>
      </c>
      <c r="C123" s="29" t="s">
        <v>2</v>
      </c>
      <c r="D123" s="29"/>
      <c r="E123" s="29" t="s">
        <v>28</v>
      </c>
      <c r="F123" s="30"/>
      <c r="G123" s="35"/>
      <c r="I123" s="17" t="s">
        <v>15</v>
      </c>
      <c r="J123" s="17" t="s">
        <v>18</v>
      </c>
      <c r="K123" s="17" t="s">
        <v>21</v>
      </c>
    </row>
    <row r="124" spans="1:11" x14ac:dyDescent="0.25">
      <c r="A124" s="3" t="s">
        <v>56</v>
      </c>
      <c r="B124" s="4"/>
      <c r="C124" s="62">
        <v>2.5</v>
      </c>
      <c r="D124" s="63"/>
      <c r="E124" s="68">
        <v>0</v>
      </c>
      <c r="F124" s="69"/>
      <c r="G124" s="35"/>
      <c r="I124" s="16">
        <f t="shared" ref="I124:I131" si="17">C124/1000000</f>
        <v>2.5000000000000002E-6</v>
      </c>
      <c r="J124" s="16">
        <f t="shared" ref="J124:J131" si="18">$K$118*I124</f>
        <v>1.5501350000000002E-4</v>
      </c>
      <c r="K124" s="23">
        <f>J124*1000</f>
        <v>0.15501350000000003</v>
      </c>
    </row>
    <row r="125" spans="1:11" x14ac:dyDescent="0.25">
      <c r="A125" s="31" t="s">
        <v>11</v>
      </c>
      <c r="B125" s="2"/>
      <c r="C125" s="66">
        <v>5</v>
      </c>
      <c r="D125" s="67"/>
      <c r="E125" s="50">
        <f>(B125+0.0053)/0.0019</f>
        <v>2.7894736842105265</v>
      </c>
      <c r="F125" s="51"/>
      <c r="G125" s="35"/>
      <c r="I125" s="18">
        <f t="shared" si="17"/>
        <v>5.0000000000000004E-6</v>
      </c>
      <c r="J125" s="18">
        <f t="shared" si="18"/>
        <v>3.1002700000000005E-4</v>
      </c>
      <c r="K125" s="21">
        <f t="shared" ref="K125:K131" si="19">J125*1000</f>
        <v>0.31002700000000005</v>
      </c>
    </row>
    <row r="126" spans="1:11" x14ac:dyDescent="0.25">
      <c r="A126" s="5" t="s">
        <v>8</v>
      </c>
      <c r="B126" s="6">
        <v>2.3E-2</v>
      </c>
      <c r="C126" s="48">
        <v>10</v>
      </c>
      <c r="D126" s="49"/>
      <c r="E126" s="50">
        <f t="shared" ref="E126:E131" si="20">(B126+0.0053)/0.0019</f>
        <v>14.894736842105262</v>
      </c>
      <c r="F126" s="51"/>
      <c r="G126" s="35"/>
      <c r="I126" s="18">
        <f t="shared" si="17"/>
        <v>1.0000000000000001E-5</v>
      </c>
      <c r="J126" s="18">
        <f t="shared" si="18"/>
        <v>6.2005400000000009E-4</v>
      </c>
      <c r="K126" s="21">
        <f t="shared" si="19"/>
        <v>0.62005400000000011</v>
      </c>
    </row>
    <row r="127" spans="1:11" x14ac:dyDescent="0.25">
      <c r="A127" s="5" t="s">
        <v>12</v>
      </c>
      <c r="B127" s="6"/>
      <c r="C127" s="48">
        <v>25</v>
      </c>
      <c r="D127" s="49"/>
      <c r="E127" s="50">
        <f t="shared" si="20"/>
        <v>2.7894736842105265</v>
      </c>
      <c r="F127" s="51"/>
      <c r="G127" s="35"/>
      <c r="I127" s="18">
        <f t="shared" si="17"/>
        <v>2.5000000000000001E-5</v>
      </c>
      <c r="J127" s="18">
        <f t="shared" si="18"/>
        <v>1.550135E-3</v>
      </c>
      <c r="K127" s="21">
        <f t="shared" si="19"/>
        <v>1.550135</v>
      </c>
    </row>
    <row r="128" spans="1:11" x14ac:dyDescent="0.25">
      <c r="A128" s="5" t="s">
        <v>3</v>
      </c>
      <c r="B128" s="6">
        <v>9.6000000000000002E-2</v>
      </c>
      <c r="C128" s="48">
        <v>50</v>
      </c>
      <c r="D128" s="49"/>
      <c r="E128" s="50">
        <f t="shared" si="20"/>
        <v>53.315789473684212</v>
      </c>
      <c r="F128" s="51"/>
      <c r="G128" s="35"/>
      <c r="I128" s="18">
        <f t="shared" si="17"/>
        <v>5.0000000000000002E-5</v>
      </c>
      <c r="J128" s="18">
        <f t="shared" si="18"/>
        <v>3.10027E-3</v>
      </c>
      <c r="K128" s="21">
        <f t="shared" si="19"/>
        <v>3.1002700000000001</v>
      </c>
    </row>
    <row r="129" spans="1:11" x14ac:dyDescent="0.25">
      <c r="A129" s="5" t="s">
        <v>4</v>
      </c>
      <c r="B129" s="6">
        <v>0.20499999999999999</v>
      </c>
      <c r="C129" s="48">
        <v>100</v>
      </c>
      <c r="D129" s="49"/>
      <c r="E129" s="50">
        <f t="shared" si="20"/>
        <v>110.68421052631578</v>
      </c>
      <c r="F129" s="51"/>
      <c r="G129" s="35"/>
      <c r="I129" s="18">
        <f t="shared" si="17"/>
        <v>1E-4</v>
      </c>
      <c r="J129" s="18">
        <f t="shared" si="18"/>
        <v>6.20054E-3</v>
      </c>
      <c r="K129" s="21">
        <f t="shared" si="19"/>
        <v>6.2005400000000002</v>
      </c>
    </row>
    <row r="130" spans="1:11" x14ac:dyDescent="0.25">
      <c r="A130" s="5" t="s">
        <v>5</v>
      </c>
      <c r="B130" s="6">
        <v>0.39500000000000002</v>
      </c>
      <c r="C130" s="48">
        <v>200</v>
      </c>
      <c r="D130" s="49"/>
      <c r="E130" s="50">
        <f t="shared" si="20"/>
        <v>210.68421052631581</v>
      </c>
      <c r="F130" s="51"/>
      <c r="G130" s="35"/>
      <c r="I130" s="18">
        <f t="shared" si="17"/>
        <v>2.0000000000000001E-4</v>
      </c>
      <c r="J130" s="18">
        <f t="shared" si="18"/>
        <v>1.240108E-2</v>
      </c>
      <c r="K130" s="21">
        <f t="shared" si="19"/>
        <v>12.40108</v>
      </c>
    </row>
    <row r="131" spans="1:11" ht="15.75" thickBot="1" x14ac:dyDescent="0.3">
      <c r="A131" s="7" t="s">
        <v>6</v>
      </c>
      <c r="B131" s="8">
        <v>0.97</v>
      </c>
      <c r="C131" s="52">
        <v>500</v>
      </c>
      <c r="D131" s="53"/>
      <c r="E131" s="54">
        <f t="shared" si="20"/>
        <v>513.31578947368416</v>
      </c>
      <c r="F131" s="55"/>
      <c r="G131" s="35"/>
      <c r="I131" s="19">
        <f t="shared" si="17"/>
        <v>5.0000000000000001E-4</v>
      </c>
      <c r="J131" s="19">
        <f t="shared" si="18"/>
        <v>3.1002700000000001E-2</v>
      </c>
      <c r="K131" s="22">
        <f t="shared" si="19"/>
        <v>31.002700000000001</v>
      </c>
    </row>
    <row r="132" spans="1:11" x14ac:dyDescent="0.25">
      <c r="A132" s="41" t="s">
        <v>69</v>
      </c>
      <c r="B132" s="9">
        <v>1.4E-2</v>
      </c>
      <c r="C132" s="72"/>
      <c r="D132" s="78"/>
      <c r="E132" s="79">
        <f t="shared" ref="E132" si="21">(B132+0.0053)/0.0019</f>
        <v>10.157894736842106</v>
      </c>
      <c r="F132" s="80"/>
      <c r="G132" s="35"/>
      <c r="I132" s="18">
        <f>E132/1000000</f>
        <v>1.0157894736842106E-5</v>
      </c>
      <c r="J132" s="18">
        <f t="shared" ref="J132:J139" si="22">$K$118*I132*$K$119</f>
        <v>6.2984432631578961E-7</v>
      </c>
      <c r="K132" s="21">
        <f t="shared" ref="K132:K139" si="23">J132*1000000</f>
        <v>0.62984432631578957</v>
      </c>
    </row>
    <row r="133" spans="1:11" x14ac:dyDescent="0.25">
      <c r="A133" s="5" t="s">
        <v>70</v>
      </c>
      <c r="B133" s="6">
        <v>8.9999999999999993E-3</v>
      </c>
      <c r="C133" s="48"/>
      <c r="D133" s="49"/>
      <c r="E133" s="50">
        <f t="shared" ref="E133" si="24">(B133+0.0053)/0.0019</f>
        <v>7.5263157894736841</v>
      </c>
      <c r="F133" s="51"/>
      <c r="G133" s="35"/>
      <c r="I133" s="18">
        <f>E133/1000000</f>
        <v>7.5263157894736844E-6</v>
      </c>
      <c r="J133" s="18">
        <f t="shared" si="22"/>
        <v>4.666722210526316E-7</v>
      </c>
      <c r="K133" s="21">
        <f t="shared" si="23"/>
        <v>0.46667222105263162</v>
      </c>
    </row>
    <row r="134" spans="1:11" x14ac:dyDescent="0.25">
      <c r="A134" s="5" t="s">
        <v>71</v>
      </c>
      <c r="B134" s="6">
        <v>2E-3</v>
      </c>
      <c r="C134" s="48"/>
      <c r="D134" s="49"/>
      <c r="E134" s="50">
        <f t="shared" ref="E134:E139" si="25">(B134+0.0053)/0.0019</f>
        <v>3.8421052631578947</v>
      </c>
      <c r="F134" s="51"/>
      <c r="G134" s="35"/>
      <c r="I134" s="18">
        <f t="shared" ref="I134:I139" si="26">E134/1000000</f>
        <v>3.8421052631578947E-6</v>
      </c>
      <c r="J134" s="18">
        <f t="shared" si="22"/>
        <v>2.3823127368421055E-7</v>
      </c>
      <c r="K134" s="21">
        <f t="shared" si="23"/>
        <v>0.23823127368421054</v>
      </c>
    </row>
    <row r="135" spans="1:11" x14ac:dyDescent="0.25">
      <c r="A135" s="5" t="s">
        <v>72</v>
      </c>
      <c r="B135" s="6">
        <v>0</v>
      </c>
      <c r="C135" s="48"/>
      <c r="D135" s="49"/>
      <c r="E135" s="50">
        <f t="shared" si="25"/>
        <v>2.7894736842105265</v>
      </c>
      <c r="F135" s="51"/>
      <c r="G135" s="35"/>
      <c r="I135" s="18">
        <f t="shared" si="26"/>
        <v>2.7894736842105266E-6</v>
      </c>
      <c r="J135" s="18">
        <f t="shared" si="22"/>
        <v>1.729624315789474E-7</v>
      </c>
      <c r="K135" s="21">
        <f t="shared" si="23"/>
        <v>0.17296243157894739</v>
      </c>
    </row>
    <row r="136" spans="1:11" x14ac:dyDescent="0.25">
      <c r="A136" s="5" t="s">
        <v>73</v>
      </c>
      <c r="B136" s="6">
        <v>6.0000000000000001E-3</v>
      </c>
      <c r="C136" s="48"/>
      <c r="D136" s="49"/>
      <c r="E136" s="50">
        <f t="shared" si="25"/>
        <v>5.9473684210526319</v>
      </c>
      <c r="F136" s="51"/>
      <c r="G136" s="35"/>
      <c r="I136" s="18">
        <f t="shared" si="26"/>
        <v>5.9473684210526318E-6</v>
      </c>
      <c r="J136" s="18">
        <f t="shared" si="22"/>
        <v>3.6876895789473685E-7</v>
      </c>
      <c r="K136" s="21">
        <f t="shared" si="23"/>
        <v>0.36876895789473685</v>
      </c>
    </row>
    <row r="137" spans="1:11" x14ac:dyDescent="0.25">
      <c r="A137" s="5" t="s">
        <v>74</v>
      </c>
      <c r="B137" s="6">
        <v>2.5000000000000001E-2</v>
      </c>
      <c r="C137" s="48"/>
      <c r="D137" s="49"/>
      <c r="E137" s="50">
        <f t="shared" si="25"/>
        <v>15.947368421052632</v>
      </c>
      <c r="F137" s="51"/>
      <c r="G137" s="35"/>
      <c r="I137" s="18">
        <f t="shared" si="26"/>
        <v>1.5947368421052633E-5</v>
      </c>
      <c r="J137" s="18">
        <f t="shared" si="22"/>
        <v>9.8882295789473691E-7</v>
      </c>
      <c r="K137" s="21">
        <f t="shared" si="23"/>
        <v>0.98882295789473695</v>
      </c>
    </row>
    <row r="138" spans="1:11" x14ac:dyDescent="0.25">
      <c r="A138" s="5" t="s">
        <v>75</v>
      </c>
      <c r="B138" s="6">
        <v>1.2999999999999999E-2</v>
      </c>
      <c r="C138" s="48"/>
      <c r="D138" s="49"/>
      <c r="E138" s="50">
        <f t="shared" si="25"/>
        <v>9.6315789473684212</v>
      </c>
      <c r="F138" s="51"/>
      <c r="G138" s="35"/>
      <c r="I138" s="18">
        <f t="shared" si="26"/>
        <v>9.6315789473684206E-6</v>
      </c>
      <c r="J138" s="18">
        <f t="shared" si="22"/>
        <v>5.972099052631579E-7</v>
      </c>
      <c r="K138" s="21">
        <f t="shared" si="23"/>
        <v>0.59720990526315787</v>
      </c>
    </row>
    <row r="139" spans="1:11" ht="15.75" thickBot="1" x14ac:dyDescent="0.3">
      <c r="A139" s="7" t="s">
        <v>76</v>
      </c>
      <c r="B139" s="8">
        <v>1.4E-2</v>
      </c>
      <c r="C139" s="52"/>
      <c r="D139" s="53"/>
      <c r="E139" s="54">
        <f t="shared" si="25"/>
        <v>10.157894736842106</v>
      </c>
      <c r="F139" s="55"/>
      <c r="G139" s="35"/>
      <c r="I139" s="18">
        <f t="shared" si="26"/>
        <v>1.0157894736842106E-5</v>
      </c>
      <c r="J139" s="18">
        <f t="shared" si="22"/>
        <v>6.2984432631578961E-7</v>
      </c>
      <c r="K139" s="21">
        <f t="shared" si="23"/>
        <v>0.62984432631578957</v>
      </c>
    </row>
  </sheetData>
  <mergeCells count="88">
    <mergeCell ref="C58:D58"/>
    <mergeCell ref="E58:F58"/>
    <mergeCell ref="A1:H1"/>
    <mergeCell ref="C56:D56"/>
    <mergeCell ref="E56:F56"/>
    <mergeCell ref="C57:D57"/>
    <mergeCell ref="E57:F57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E105:F105"/>
    <mergeCell ref="C68:D68"/>
    <mergeCell ref="E68:F68"/>
    <mergeCell ref="C69:D69"/>
    <mergeCell ref="E69:F69"/>
    <mergeCell ref="C70:D70"/>
    <mergeCell ref="E70:F70"/>
    <mergeCell ref="C71:D71"/>
    <mergeCell ref="E71:F71"/>
    <mergeCell ref="E102:F102"/>
    <mergeCell ref="E103:F103"/>
    <mergeCell ref="E104:F104"/>
    <mergeCell ref="E106:F106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26:D126"/>
    <mergeCell ref="E126:F126"/>
    <mergeCell ref="C113:D113"/>
    <mergeCell ref="E113:F113"/>
    <mergeCell ref="C114:D114"/>
    <mergeCell ref="E114:F114"/>
    <mergeCell ref="C115:D115"/>
    <mergeCell ref="E115:F115"/>
    <mergeCell ref="A121:H121"/>
    <mergeCell ref="C124:D124"/>
    <mergeCell ref="E124:F124"/>
    <mergeCell ref="C125:D125"/>
    <mergeCell ref="E125:F125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9:D139"/>
    <mergeCell ref="E139:F139"/>
    <mergeCell ref="C136:D136"/>
    <mergeCell ref="E136:F136"/>
    <mergeCell ref="C137:D137"/>
    <mergeCell ref="E137:F137"/>
    <mergeCell ref="C138:D138"/>
    <mergeCell ref="E138:F138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1"/>
  <sheetViews>
    <sheetView topLeftCell="A122" zoomScaleNormal="100" zoomScalePageLayoutView="85" workbookViewId="0">
      <selection activeCell="K133" activeCellId="1" sqref="A133:A141 K133:K141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70" t="s">
        <v>26</v>
      </c>
      <c r="B1" s="70"/>
      <c r="C1" s="70"/>
      <c r="D1" s="70"/>
      <c r="E1" s="70"/>
      <c r="F1" s="70"/>
      <c r="G1" s="70"/>
      <c r="H1" s="70"/>
      <c r="I1" s="1"/>
    </row>
    <row r="2" spans="1:9" s="25" customFormat="1" x14ac:dyDescent="0.25">
      <c r="A2" s="25" t="s">
        <v>89</v>
      </c>
    </row>
    <row r="3" spans="1:9" s="25" customFormat="1" x14ac:dyDescent="0.25"/>
    <row r="4" spans="1:9" s="25" customFormat="1" x14ac:dyDescent="0.25">
      <c r="A4" s="26">
        <v>45925</v>
      </c>
    </row>
    <row r="5" spans="1:9" s="25" customFormat="1" x14ac:dyDescent="0.25">
      <c r="A5" s="25" t="s">
        <v>62</v>
      </c>
    </row>
    <row r="6" spans="1:9" s="25" customFormat="1" x14ac:dyDescent="0.25">
      <c r="A6" s="25" t="s">
        <v>31</v>
      </c>
    </row>
    <row r="7" spans="1:9" s="25" customFormat="1" x14ac:dyDescent="0.25">
      <c r="A7" s="25" t="s">
        <v>90</v>
      </c>
    </row>
    <row r="8" spans="1:9" s="25" customFormat="1" x14ac:dyDescent="0.25">
      <c r="A8" s="25" t="s">
        <v>103</v>
      </c>
    </row>
    <row r="9" spans="1:9" s="25" customFormat="1" x14ac:dyDescent="0.25">
      <c r="A9" s="25" t="s">
        <v>37</v>
      </c>
    </row>
    <row r="10" spans="1:9" s="25" customFormat="1" x14ac:dyDescent="0.25">
      <c r="B10" s="34" t="s">
        <v>38</v>
      </c>
      <c r="C10" s="25" t="s">
        <v>93</v>
      </c>
    </row>
    <row r="11" spans="1:9" s="25" customFormat="1" x14ac:dyDescent="0.25">
      <c r="B11" s="34" t="s">
        <v>39</v>
      </c>
      <c r="C11" s="25" t="s">
        <v>94</v>
      </c>
    </row>
    <row r="12" spans="1:9" s="25" customFormat="1" x14ac:dyDescent="0.25">
      <c r="B12" s="34" t="s">
        <v>40</v>
      </c>
      <c r="C12" s="25" t="s">
        <v>95</v>
      </c>
    </row>
    <row r="13" spans="1:9" s="25" customFormat="1" x14ac:dyDescent="0.25">
      <c r="B13" s="34" t="s">
        <v>41</v>
      </c>
      <c r="C13" s="25" t="s">
        <v>96</v>
      </c>
    </row>
    <row r="14" spans="1:9" s="25" customFormat="1" x14ac:dyDescent="0.25">
      <c r="B14" s="34" t="s">
        <v>42</v>
      </c>
      <c r="C14" s="25" t="s">
        <v>97</v>
      </c>
    </row>
    <row r="15" spans="1:9" s="25" customFormat="1" x14ac:dyDescent="0.25">
      <c r="B15" s="34" t="s">
        <v>43</v>
      </c>
      <c r="C15" s="25" t="s">
        <v>98</v>
      </c>
    </row>
    <row r="16" spans="1:9" s="25" customFormat="1" x14ac:dyDescent="0.25">
      <c r="B16" s="34" t="s">
        <v>44</v>
      </c>
      <c r="C16" s="25" t="s">
        <v>99</v>
      </c>
    </row>
    <row r="17" spans="1:3" s="25" customFormat="1" x14ac:dyDescent="0.25">
      <c r="B17" s="34" t="s">
        <v>45</v>
      </c>
      <c r="C17" s="25" t="s">
        <v>100</v>
      </c>
    </row>
    <row r="18" spans="1:3" s="25" customFormat="1" x14ac:dyDescent="0.25">
      <c r="B18" s="34" t="s">
        <v>91</v>
      </c>
      <c r="C18" s="25" t="s">
        <v>92</v>
      </c>
    </row>
    <row r="19" spans="1:3" s="25" customFormat="1" x14ac:dyDescent="0.25"/>
    <row r="20" spans="1:3" s="25" customFormat="1" x14ac:dyDescent="0.25">
      <c r="A20" s="25" t="s">
        <v>102</v>
      </c>
    </row>
    <row r="21" spans="1:3" s="25" customFormat="1" x14ac:dyDescent="0.25">
      <c r="A21" s="25" t="s">
        <v>101</v>
      </c>
    </row>
    <row r="22" spans="1:3" s="25" customFormat="1" x14ac:dyDescent="0.25">
      <c r="A22" s="25" t="s">
        <v>57</v>
      </c>
    </row>
    <row r="23" spans="1:3" s="25" customFormat="1" x14ac:dyDescent="0.25">
      <c r="A23" s="25" t="s">
        <v>58</v>
      </c>
    </row>
    <row r="24" spans="1:3" s="25" customFormat="1" x14ac:dyDescent="0.25">
      <c r="A24" s="25" t="s">
        <v>59</v>
      </c>
    </row>
    <row r="25" spans="1:3" s="25" customFormat="1" x14ac:dyDescent="0.25">
      <c r="A25" s="25" t="s">
        <v>60</v>
      </c>
    </row>
    <row r="51" spans="1:11" x14ac:dyDescent="0.25">
      <c r="H51" t="s">
        <v>24</v>
      </c>
      <c r="J51">
        <v>18.038460000000001</v>
      </c>
      <c r="K51" t="s">
        <v>14</v>
      </c>
    </row>
    <row r="52" spans="1:11" x14ac:dyDescent="0.25">
      <c r="H52" t="s">
        <v>16</v>
      </c>
      <c r="J52">
        <v>1E-3</v>
      </c>
      <c r="K52" t="s">
        <v>17</v>
      </c>
    </row>
    <row r="53" spans="1:11" ht="15.75" thickBot="1" x14ac:dyDescent="0.3"/>
    <row r="54" spans="1:11" x14ac:dyDescent="0.25">
      <c r="H54" s="16" t="s">
        <v>22</v>
      </c>
      <c r="I54" s="20" t="s">
        <v>19</v>
      </c>
      <c r="J54" s="20" t="s">
        <v>20</v>
      </c>
    </row>
    <row r="55" spans="1:11" ht="15.75" thickBot="1" x14ac:dyDescent="0.3">
      <c r="H55" s="17" t="s">
        <v>15</v>
      </c>
      <c r="I55" s="17" t="s">
        <v>18</v>
      </c>
      <c r="J55" s="17" t="s">
        <v>21</v>
      </c>
    </row>
    <row r="56" spans="1:11" x14ac:dyDescent="0.25">
      <c r="A56" s="28" t="s">
        <v>0</v>
      </c>
      <c r="B56" s="29" t="s">
        <v>1</v>
      </c>
      <c r="C56" s="29" t="s">
        <v>2</v>
      </c>
      <c r="D56" s="29"/>
      <c r="E56" s="29" t="s">
        <v>13</v>
      </c>
      <c r="F56" s="30"/>
      <c r="H56" s="16"/>
      <c r="I56" s="20" t="s">
        <v>23</v>
      </c>
      <c r="J56" s="16"/>
    </row>
    <row r="57" spans="1:11" x14ac:dyDescent="0.25">
      <c r="A57" s="5" t="s">
        <v>34</v>
      </c>
      <c r="B57" s="6">
        <v>3.0000000000000001E-3</v>
      </c>
      <c r="C57" s="76">
        <v>1</v>
      </c>
      <c r="D57" s="76"/>
      <c r="E57" s="57">
        <v>0</v>
      </c>
      <c r="F57" s="58"/>
      <c r="H57" s="18"/>
      <c r="I57" s="27"/>
      <c r="J57" s="18"/>
    </row>
    <row r="58" spans="1:11" x14ac:dyDescent="0.25">
      <c r="A58" s="5" t="s">
        <v>35</v>
      </c>
      <c r="B58" s="6">
        <v>1.7999999999999999E-2</v>
      </c>
      <c r="C58" s="76">
        <v>2.5</v>
      </c>
      <c r="D58" s="76"/>
      <c r="E58" s="57">
        <f>(B58-0.0099)/0.0098</f>
        <v>0.82653061224489777</v>
      </c>
      <c r="F58" s="58"/>
      <c r="H58" s="18"/>
      <c r="I58" s="27"/>
      <c r="J58" s="18"/>
    </row>
    <row r="59" spans="1:11" x14ac:dyDescent="0.25">
      <c r="A59" s="5" t="s">
        <v>7</v>
      </c>
      <c r="B59" s="6">
        <v>4.2999999999999997E-2</v>
      </c>
      <c r="C59" s="76">
        <v>5</v>
      </c>
      <c r="D59" s="76"/>
      <c r="E59" s="57">
        <f t="shared" ref="E59:E64" si="0">(B59-0.0099)/0.0098</f>
        <v>3.3775510204081631</v>
      </c>
      <c r="F59" s="58"/>
      <c r="H59" s="18">
        <f>C59/1000000</f>
        <v>5.0000000000000004E-6</v>
      </c>
      <c r="I59" s="18">
        <f>$J$51*H59</f>
        <v>9.0192300000000014E-5</v>
      </c>
      <c r="J59" s="21">
        <f>I59*1000</f>
        <v>9.0192300000000017E-2</v>
      </c>
    </row>
    <row r="60" spans="1:11" x14ac:dyDescent="0.25">
      <c r="A60" s="5" t="s">
        <v>8</v>
      </c>
      <c r="B60" s="6">
        <v>9.4E-2</v>
      </c>
      <c r="C60" s="76">
        <v>10</v>
      </c>
      <c r="D60" s="76"/>
      <c r="E60" s="57">
        <f t="shared" si="0"/>
        <v>8.5816326530612237</v>
      </c>
      <c r="F60" s="58"/>
      <c r="H60" s="18">
        <f>C60/1000000</f>
        <v>1.0000000000000001E-5</v>
      </c>
      <c r="I60" s="18">
        <f t="shared" ref="I60:I64" si="1">$J$51*H60</f>
        <v>1.8038460000000003E-4</v>
      </c>
      <c r="J60" s="21">
        <f t="shared" ref="J60:J64" si="2">I60*1000</f>
        <v>0.18038460000000003</v>
      </c>
    </row>
    <row r="61" spans="1:11" x14ac:dyDescent="0.25">
      <c r="A61" s="5" t="s">
        <v>36</v>
      </c>
      <c r="B61" s="6">
        <v>0.25</v>
      </c>
      <c r="C61" s="76">
        <v>25</v>
      </c>
      <c r="D61" s="76"/>
      <c r="E61" s="57">
        <f t="shared" si="0"/>
        <v>24.5</v>
      </c>
      <c r="F61" s="58"/>
      <c r="H61" s="18"/>
      <c r="I61" s="18"/>
      <c r="J61" s="21"/>
    </row>
    <row r="62" spans="1:11" x14ac:dyDescent="0.25">
      <c r="A62" s="5" t="s">
        <v>3</v>
      </c>
      <c r="B62" s="6">
        <v>0.52</v>
      </c>
      <c r="C62" s="76">
        <v>50</v>
      </c>
      <c r="D62" s="76"/>
      <c r="E62" s="57">
        <f t="shared" si="0"/>
        <v>52.051020408163268</v>
      </c>
      <c r="F62" s="58"/>
      <c r="H62" s="18">
        <f>C62/1000000</f>
        <v>5.0000000000000002E-5</v>
      </c>
      <c r="I62" s="18">
        <f t="shared" si="1"/>
        <v>9.0192300000000011E-4</v>
      </c>
      <c r="J62" s="21">
        <f t="shared" si="2"/>
        <v>0.90192300000000014</v>
      </c>
    </row>
    <row r="63" spans="1:11" x14ac:dyDescent="0.25">
      <c r="A63" s="5" t="s">
        <v>4</v>
      </c>
      <c r="B63" s="6">
        <v>1.028</v>
      </c>
      <c r="C63" s="76">
        <v>100</v>
      </c>
      <c r="D63" s="76"/>
      <c r="E63" s="57">
        <f t="shared" si="0"/>
        <v>103.88775510204081</v>
      </c>
      <c r="F63" s="58"/>
      <c r="H63" s="18">
        <f>C63/1000000</f>
        <v>1E-4</v>
      </c>
      <c r="I63" s="18">
        <f t="shared" si="1"/>
        <v>1.8038460000000002E-3</v>
      </c>
      <c r="J63" s="21">
        <f t="shared" si="2"/>
        <v>1.8038460000000003</v>
      </c>
    </row>
    <row r="64" spans="1:11" ht="15.75" thickBot="1" x14ac:dyDescent="0.3">
      <c r="A64" s="7" t="s">
        <v>5</v>
      </c>
      <c r="B64" s="8">
        <v>1.95</v>
      </c>
      <c r="C64" s="52">
        <v>200</v>
      </c>
      <c r="D64" s="53"/>
      <c r="E64" s="57">
        <f t="shared" si="0"/>
        <v>197.96938775510205</v>
      </c>
      <c r="F64" s="58"/>
      <c r="H64" s="19">
        <f>C64/1000000</f>
        <v>2.0000000000000001E-4</v>
      </c>
      <c r="I64" s="19">
        <f t="shared" si="1"/>
        <v>3.6076920000000005E-3</v>
      </c>
      <c r="J64" s="22">
        <f t="shared" si="2"/>
        <v>3.6076920000000006</v>
      </c>
    </row>
    <row r="65" spans="1:10" x14ac:dyDescent="0.25">
      <c r="A65" s="9" t="s">
        <v>93</v>
      </c>
      <c r="B65" s="9">
        <v>0.224</v>
      </c>
      <c r="C65" s="72"/>
      <c r="D65" s="73"/>
      <c r="E65" s="57">
        <f t="shared" ref="E65:E73" si="3">(B65-0.0099)/0.0098</f>
        <v>21.846938775510207</v>
      </c>
      <c r="F65" s="58"/>
      <c r="H65" s="18">
        <f t="shared" ref="H65:H73" si="4">E65/1000000</f>
        <v>2.1846938775510207E-5</v>
      </c>
      <c r="I65" s="18">
        <f>$J$51*H65*$J$52</f>
        <v>3.9408513122448985E-7</v>
      </c>
      <c r="J65" s="21">
        <f>I65*1000000</f>
        <v>0.39408513122448985</v>
      </c>
    </row>
    <row r="66" spans="1:10" x14ac:dyDescent="0.25">
      <c r="A66" s="6" t="s">
        <v>94</v>
      </c>
      <c r="B66" s="6">
        <v>2.9000000000000001E-2</v>
      </c>
      <c r="C66" s="48"/>
      <c r="D66" s="56"/>
      <c r="E66" s="57">
        <f t="shared" si="3"/>
        <v>1.9489795918367347</v>
      </c>
      <c r="F66" s="58"/>
      <c r="H66" s="18">
        <f t="shared" si="4"/>
        <v>1.9489795918367348E-6</v>
      </c>
      <c r="I66" s="18">
        <f t="shared" ref="I66:I73" si="5">$J$51*H66*$J$52</f>
        <v>3.515659040816327E-8</v>
      </c>
      <c r="J66" s="21">
        <f t="shared" ref="J66:J73" si="6">I66*1000000</f>
        <v>3.5156590408163269E-2</v>
      </c>
    </row>
    <row r="67" spans="1:10" x14ac:dyDescent="0.25">
      <c r="A67" s="6" t="s">
        <v>95</v>
      </c>
      <c r="B67" s="6">
        <v>2.4E-2</v>
      </c>
      <c r="C67" s="48"/>
      <c r="D67" s="56"/>
      <c r="E67" s="57">
        <f t="shared" si="3"/>
        <v>1.4387755102040816</v>
      </c>
      <c r="F67" s="58"/>
      <c r="H67" s="18">
        <f t="shared" si="4"/>
        <v>1.4387755102040816E-6</v>
      </c>
      <c r="I67" s="18">
        <f t="shared" si="5"/>
        <v>2.595329448979592E-8</v>
      </c>
      <c r="J67" s="21">
        <f t="shared" si="6"/>
        <v>2.5953294489795921E-2</v>
      </c>
    </row>
    <row r="68" spans="1:10" x14ac:dyDescent="0.25">
      <c r="A68" s="6" t="s">
        <v>96</v>
      </c>
      <c r="B68" s="6">
        <v>7.9000000000000001E-2</v>
      </c>
      <c r="C68" s="48"/>
      <c r="D68" s="56"/>
      <c r="E68" s="57">
        <f t="shared" si="3"/>
        <v>7.0510204081632653</v>
      </c>
      <c r="F68" s="58"/>
      <c r="H68" s="18">
        <f t="shared" si="4"/>
        <v>7.051020408163265E-6</v>
      </c>
      <c r="I68" s="18">
        <f t="shared" si="5"/>
        <v>1.2718954959183674E-7</v>
      </c>
      <c r="J68" s="21">
        <f t="shared" si="6"/>
        <v>0.12718954959183673</v>
      </c>
    </row>
    <row r="69" spans="1:10" x14ac:dyDescent="0.25">
      <c r="A69" s="6" t="s">
        <v>97</v>
      </c>
      <c r="B69" s="6">
        <v>4.1000000000000002E-2</v>
      </c>
      <c r="C69" s="48"/>
      <c r="D69" s="56"/>
      <c r="E69" s="57">
        <f t="shared" si="3"/>
        <v>3.1734693877551026</v>
      </c>
      <c r="F69" s="58"/>
      <c r="H69" s="18">
        <f t="shared" si="4"/>
        <v>3.1734693877551026E-6</v>
      </c>
      <c r="I69" s="18">
        <f t="shared" si="5"/>
        <v>5.724450061224491E-8</v>
      </c>
      <c r="J69" s="21">
        <f t="shared" si="6"/>
        <v>5.7244500612244911E-2</v>
      </c>
    </row>
    <row r="70" spans="1:10" x14ac:dyDescent="0.25">
      <c r="A70" s="6" t="s">
        <v>98</v>
      </c>
      <c r="B70" s="6">
        <v>0.224</v>
      </c>
      <c r="C70" s="48"/>
      <c r="D70" s="56"/>
      <c r="E70" s="57">
        <f t="shared" si="3"/>
        <v>21.846938775510207</v>
      </c>
      <c r="F70" s="58"/>
      <c r="H70" s="18">
        <f t="shared" si="4"/>
        <v>2.1846938775510207E-5</v>
      </c>
      <c r="I70" s="18">
        <f t="shared" si="5"/>
        <v>3.9408513122448985E-7</v>
      </c>
      <c r="J70" s="21">
        <f t="shared" si="6"/>
        <v>0.39408513122448985</v>
      </c>
    </row>
    <row r="71" spans="1:10" x14ac:dyDescent="0.25">
      <c r="A71" s="6" t="s">
        <v>99</v>
      </c>
      <c r="B71" s="6">
        <v>0.221</v>
      </c>
      <c r="C71" s="48"/>
      <c r="D71" s="56"/>
      <c r="E71" s="57">
        <f t="shared" si="3"/>
        <v>21.540816326530614</v>
      </c>
      <c r="F71" s="58"/>
      <c r="H71" s="18">
        <f t="shared" si="4"/>
        <v>2.1540816326530614E-5</v>
      </c>
      <c r="I71" s="18">
        <f t="shared" si="5"/>
        <v>3.8856315367346942E-7</v>
      </c>
      <c r="J71" s="21">
        <f t="shared" si="6"/>
        <v>0.38856315367346944</v>
      </c>
    </row>
    <row r="72" spans="1:10" x14ac:dyDescent="0.25">
      <c r="A72" s="6" t="s">
        <v>100</v>
      </c>
      <c r="B72" s="6">
        <v>0.11700000000000001</v>
      </c>
      <c r="C72" s="48"/>
      <c r="D72" s="56"/>
      <c r="E72" s="57">
        <f t="shared" si="3"/>
        <v>10.928571428571429</v>
      </c>
      <c r="F72" s="58"/>
      <c r="H72" s="18">
        <f t="shared" si="4"/>
        <v>1.0928571428571429E-5</v>
      </c>
      <c r="I72" s="18">
        <f t="shared" si="5"/>
        <v>1.9713459857142859E-7</v>
      </c>
      <c r="J72" s="21">
        <f t="shared" si="6"/>
        <v>0.19713459857142859</v>
      </c>
    </row>
    <row r="73" spans="1:10" x14ac:dyDescent="0.25">
      <c r="A73" s="6" t="s">
        <v>92</v>
      </c>
      <c r="B73" s="6">
        <v>3.5000000000000003E-2</v>
      </c>
      <c r="C73" s="48"/>
      <c r="D73" s="56"/>
      <c r="E73" s="57">
        <f t="shared" si="3"/>
        <v>2.5612244897959191</v>
      </c>
      <c r="F73" s="58"/>
      <c r="H73" s="18">
        <f t="shared" si="4"/>
        <v>2.5612244897959191E-6</v>
      </c>
      <c r="I73" s="18">
        <f t="shared" si="5"/>
        <v>4.6200545510204097E-8</v>
      </c>
      <c r="J73" s="21">
        <f t="shared" si="6"/>
        <v>4.6200545510204097E-2</v>
      </c>
    </row>
    <row r="98" spans="1:12" x14ac:dyDescent="0.25">
      <c r="I98" t="s">
        <v>25</v>
      </c>
      <c r="K98">
        <v>94.972999999999999</v>
      </c>
    </row>
    <row r="99" spans="1:12" x14ac:dyDescent="0.25">
      <c r="I99" t="s">
        <v>16</v>
      </c>
      <c r="K99">
        <v>1E-3</v>
      </c>
      <c r="L99" t="s">
        <v>14</v>
      </c>
    </row>
    <row r="100" spans="1:12" ht="15.75" thickBot="1" x14ac:dyDescent="0.3">
      <c r="L100" t="s">
        <v>17</v>
      </c>
    </row>
    <row r="101" spans="1:12" ht="15.75" thickBot="1" x14ac:dyDescent="0.3">
      <c r="I101" s="16" t="s">
        <v>22</v>
      </c>
      <c r="J101" s="20" t="s">
        <v>19</v>
      </c>
      <c r="K101" s="20" t="s">
        <v>20</v>
      </c>
    </row>
    <row r="102" spans="1:12" ht="15.75" thickBot="1" x14ac:dyDescent="0.3">
      <c r="A102" s="28" t="s">
        <v>0</v>
      </c>
      <c r="B102" s="29" t="s">
        <v>1</v>
      </c>
      <c r="C102" s="29" t="s">
        <v>2</v>
      </c>
      <c r="D102" s="29"/>
      <c r="E102" s="29" t="s">
        <v>13</v>
      </c>
      <c r="F102" s="30"/>
      <c r="I102" s="17" t="s">
        <v>15</v>
      </c>
      <c r="J102" s="17" t="s">
        <v>18</v>
      </c>
      <c r="K102" s="17" t="s">
        <v>21</v>
      </c>
    </row>
    <row r="103" spans="1:12" x14ac:dyDescent="0.25">
      <c r="A103" s="3" t="s">
        <v>9</v>
      </c>
      <c r="B103" s="4">
        <v>0</v>
      </c>
      <c r="C103" s="10">
        <v>0.5</v>
      </c>
      <c r="D103" s="11"/>
      <c r="E103" s="68">
        <f>(B103+0.001)/0.0201</f>
        <v>4.975124378109453E-2</v>
      </c>
      <c r="F103" s="69"/>
      <c r="I103" s="16">
        <f t="shared" ref="I103:I108" si="7">C103/1000000</f>
        <v>4.9999999999999998E-7</v>
      </c>
      <c r="J103" s="16">
        <f t="shared" ref="J103:J108" si="8">$K$98*I103</f>
        <v>4.74865E-5</v>
      </c>
      <c r="K103" s="23">
        <f>J103*1000</f>
        <v>4.7486500000000001E-2</v>
      </c>
    </row>
    <row r="104" spans="1:12" x14ac:dyDescent="0.25">
      <c r="A104" s="5" t="s">
        <v>10</v>
      </c>
      <c r="B104" s="6">
        <v>0.01</v>
      </c>
      <c r="C104" s="12">
        <v>1</v>
      </c>
      <c r="D104" s="13"/>
      <c r="E104" s="57">
        <f t="shared" ref="E104:E108" si="9">(B104+0.001)/0.0201</f>
        <v>0.54726368159203975</v>
      </c>
      <c r="F104" s="58"/>
      <c r="I104" s="18">
        <f t="shared" si="7"/>
        <v>9.9999999999999995E-7</v>
      </c>
      <c r="J104" s="18">
        <f t="shared" si="8"/>
        <v>9.4973E-5</v>
      </c>
      <c r="K104" s="21">
        <f t="shared" ref="K104:K108" si="10">J104*1000</f>
        <v>9.4973000000000002E-2</v>
      </c>
    </row>
    <row r="105" spans="1:12" x14ac:dyDescent="0.25">
      <c r="A105" s="5" t="s">
        <v>11</v>
      </c>
      <c r="B105" s="6">
        <v>8.2000000000000003E-2</v>
      </c>
      <c r="C105" s="12">
        <v>5</v>
      </c>
      <c r="D105" s="13"/>
      <c r="E105" s="57">
        <f t="shared" si="9"/>
        <v>4.1293532338308463</v>
      </c>
      <c r="F105" s="58"/>
      <c r="I105" s="18">
        <f t="shared" si="7"/>
        <v>5.0000000000000004E-6</v>
      </c>
      <c r="J105" s="18">
        <f t="shared" si="8"/>
        <v>4.7486500000000004E-4</v>
      </c>
      <c r="K105" s="21">
        <f t="shared" si="10"/>
        <v>0.47486500000000004</v>
      </c>
    </row>
    <row r="106" spans="1:12" x14ac:dyDescent="0.25">
      <c r="A106" s="5" t="s">
        <v>8</v>
      </c>
      <c r="B106" s="6">
        <v>0.20300000000000001</v>
      </c>
      <c r="C106" s="12">
        <v>10</v>
      </c>
      <c r="D106" s="13"/>
      <c r="E106" s="57">
        <f t="shared" si="9"/>
        <v>10.149253731343284</v>
      </c>
      <c r="F106" s="58"/>
      <c r="I106" s="18">
        <f t="shared" si="7"/>
        <v>1.0000000000000001E-5</v>
      </c>
      <c r="J106" s="18">
        <f t="shared" si="8"/>
        <v>9.4973000000000008E-4</v>
      </c>
      <c r="K106" s="21">
        <f t="shared" si="10"/>
        <v>0.94973000000000007</v>
      </c>
    </row>
    <row r="107" spans="1:12" ht="15.75" thickBot="1" x14ac:dyDescent="0.3">
      <c r="A107" s="31" t="s">
        <v>12</v>
      </c>
      <c r="B107" s="2">
        <v>0.49</v>
      </c>
      <c r="C107" s="32">
        <v>25</v>
      </c>
      <c r="D107" s="33"/>
      <c r="E107" s="57">
        <f t="shared" si="9"/>
        <v>24.427860696517413</v>
      </c>
      <c r="F107" s="58"/>
      <c r="I107" s="19">
        <f t="shared" si="7"/>
        <v>2.5000000000000001E-5</v>
      </c>
      <c r="J107" s="19">
        <f t="shared" si="8"/>
        <v>2.374325E-3</v>
      </c>
      <c r="K107" s="22">
        <f t="shared" si="10"/>
        <v>2.3743250000000002</v>
      </c>
    </row>
    <row r="108" spans="1:12" ht="15.75" thickBot="1" x14ac:dyDescent="0.3">
      <c r="A108" s="7" t="s">
        <v>3</v>
      </c>
      <c r="B108" s="8"/>
      <c r="C108" s="14">
        <v>50</v>
      </c>
      <c r="D108" s="15"/>
      <c r="E108" s="60">
        <f t="shared" si="9"/>
        <v>4.975124378109453E-2</v>
      </c>
      <c r="F108" s="61"/>
      <c r="I108" s="18">
        <f t="shared" si="7"/>
        <v>5.0000000000000002E-5</v>
      </c>
      <c r="J108" s="18">
        <f t="shared" si="8"/>
        <v>4.7486500000000001E-3</v>
      </c>
      <c r="K108" s="21">
        <f t="shared" si="10"/>
        <v>4.7486500000000005</v>
      </c>
    </row>
    <row r="109" spans="1:12" x14ac:dyDescent="0.25">
      <c r="A109" s="41" t="s">
        <v>93</v>
      </c>
      <c r="B109" s="9">
        <v>0</v>
      </c>
      <c r="C109" s="72"/>
      <c r="D109" s="73"/>
      <c r="E109" s="74">
        <f t="shared" ref="E109" si="11">(B109+0.001)/0.0201</f>
        <v>4.975124378109453E-2</v>
      </c>
      <c r="F109" s="75"/>
      <c r="I109" s="18">
        <f>E109/1000000</f>
        <v>4.9751243781094531E-8</v>
      </c>
      <c r="J109" s="18">
        <f>$J$51*I109*$K$99</f>
        <v>8.9743582089552253E-10</v>
      </c>
      <c r="K109" s="21">
        <f>J109*1000000</f>
        <v>8.9743582089552249E-4</v>
      </c>
    </row>
    <row r="110" spans="1:12" x14ac:dyDescent="0.25">
      <c r="A110" s="5" t="s">
        <v>94</v>
      </c>
      <c r="B110" s="6">
        <v>0</v>
      </c>
      <c r="C110" s="48"/>
      <c r="D110" s="56"/>
      <c r="E110" s="57">
        <f t="shared" ref="E110:E117" si="12">(B110+0.001)/0.0201</f>
        <v>4.975124378109453E-2</v>
      </c>
      <c r="F110" s="58"/>
      <c r="I110" s="18">
        <f t="shared" ref="I110:I117" si="13">E110/1000000</f>
        <v>4.9751243781094531E-8</v>
      </c>
      <c r="J110" s="18">
        <f t="shared" ref="J110:J117" si="14">$J$51*I110*$J$52</f>
        <v>8.9743582089552253E-10</v>
      </c>
      <c r="K110" s="21">
        <f>J110*1000000</f>
        <v>8.9743582089552249E-4</v>
      </c>
    </row>
    <row r="111" spans="1:12" x14ac:dyDescent="0.25">
      <c r="A111" s="5" t="s">
        <v>95</v>
      </c>
      <c r="B111" s="6">
        <v>0</v>
      </c>
      <c r="C111" s="48"/>
      <c r="D111" s="56"/>
      <c r="E111" s="57">
        <f t="shared" si="12"/>
        <v>4.975124378109453E-2</v>
      </c>
      <c r="F111" s="58"/>
      <c r="I111" s="18">
        <f t="shared" si="13"/>
        <v>4.9751243781094531E-8</v>
      </c>
      <c r="J111" s="18">
        <f t="shared" si="14"/>
        <v>8.9743582089552253E-10</v>
      </c>
      <c r="K111" s="21">
        <f t="shared" ref="K111:K117" si="15">J111*1000000</f>
        <v>8.9743582089552249E-4</v>
      </c>
    </row>
    <row r="112" spans="1:12" x14ac:dyDescent="0.25">
      <c r="A112" s="5" t="s">
        <v>96</v>
      </c>
      <c r="B112" s="6">
        <v>0</v>
      </c>
      <c r="C112" s="48"/>
      <c r="D112" s="56"/>
      <c r="E112" s="57">
        <f t="shared" si="12"/>
        <v>4.975124378109453E-2</v>
      </c>
      <c r="F112" s="58"/>
      <c r="I112" s="18">
        <f t="shared" si="13"/>
        <v>4.9751243781094531E-8</v>
      </c>
      <c r="J112" s="18">
        <f t="shared" si="14"/>
        <v>8.9743582089552253E-10</v>
      </c>
      <c r="K112" s="21">
        <f t="shared" si="15"/>
        <v>8.9743582089552249E-4</v>
      </c>
    </row>
    <row r="113" spans="1:11" x14ac:dyDescent="0.25">
      <c r="A113" s="5" t="s">
        <v>97</v>
      </c>
      <c r="B113" s="6">
        <v>0</v>
      </c>
      <c r="C113" s="48"/>
      <c r="D113" s="56"/>
      <c r="E113" s="57">
        <f t="shared" si="12"/>
        <v>4.975124378109453E-2</v>
      </c>
      <c r="F113" s="58"/>
      <c r="I113" s="18">
        <f t="shared" si="13"/>
        <v>4.9751243781094531E-8</v>
      </c>
      <c r="J113" s="18">
        <f t="shared" si="14"/>
        <v>8.9743582089552253E-10</v>
      </c>
      <c r="K113" s="21">
        <f t="shared" si="15"/>
        <v>8.9743582089552249E-4</v>
      </c>
    </row>
    <row r="114" spans="1:11" x14ac:dyDescent="0.25">
      <c r="A114" s="5" t="s">
        <v>98</v>
      </c>
      <c r="B114" s="6">
        <v>2E-3</v>
      </c>
      <c r="C114" s="48"/>
      <c r="D114" s="56"/>
      <c r="E114" s="57">
        <f t="shared" si="12"/>
        <v>0.1492537313432836</v>
      </c>
      <c r="F114" s="58"/>
      <c r="I114" s="18">
        <f t="shared" si="13"/>
        <v>1.492537313432836E-7</v>
      </c>
      <c r="J114" s="18">
        <f t="shared" si="14"/>
        <v>2.6923074626865681E-9</v>
      </c>
      <c r="K114" s="21">
        <f t="shared" si="15"/>
        <v>2.692307462686568E-3</v>
      </c>
    </row>
    <row r="115" spans="1:11" x14ac:dyDescent="0.25">
      <c r="A115" s="5" t="s">
        <v>99</v>
      </c>
      <c r="B115" s="6">
        <v>0.01</v>
      </c>
      <c r="C115" s="48"/>
      <c r="D115" s="56"/>
      <c r="E115" s="57">
        <f t="shared" si="12"/>
        <v>0.54726368159203975</v>
      </c>
      <c r="F115" s="58"/>
      <c r="I115" s="18">
        <f t="shared" si="13"/>
        <v>5.4726368159203972E-7</v>
      </c>
      <c r="J115" s="18">
        <f t="shared" si="14"/>
        <v>9.8717940298507459E-9</v>
      </c>
      <c r="K115" s="21">
        <f t="shared" si="15"/>
        <v>9.8717940298507466E-3</v>
      </c>
    </row>
    <row r="116" spans="1:11" x14ac:dyDescent="0.25">
      <c r="A116" s="5" t="s">
        <v>100</v>
      </c>
      <c r="B116" s="6">
        <v>0</v>
      </c>
      <c r="C116" s="48"/>
      <c r="D116" s="56"/>
      <c r="E116" s="57">
        <f t="shared" si="12"/>
        <v>4.975124378109453E-2</v>
      </c>
      <c r="F116" s="58"/>
      <c r="I116" s="18">
        <f t="shared" si="13"/>
        <v>4.9751243781094531E-8</v>
      </c>
      <c r="J116" s="18">
        <f t="shared" si="14"/>
        <v>8.9743582089552253E-10</v>
      </c>
      <c r="K116" s="21">
        <f t="shared" si="15"/>
        <v>8.9743582089552249E-4</v>
      </c>
    </row>
    <row r="117" spans="1:11" ht="15.75" thickBot="1" x14ac:dyDescent="0.3">
      <c r="A117" s="7" t="s">
        <v>92</v>
      </c>
      <c r="B117" s="8">
        <v>0</v>
      </c>
      <c r="C117" s="52"/>
      <c r="D117" s="59"/>
      <c r="E117" s="60">
        <f t="shared" si="12"/>
        <v>4.975124378109453E-2</v>
      </c>
      <c r="F117" s="61"/>
      <c r="I117" s="18">
        <f t="shared" si="13"/>
        <v>4.9751243781094531E-8</v>
      </c>
      <c r="J117" s="18">
        <f t="shared" si="14"/>
        <v>8.9743582089552253E-10</v>
      </c>
      <c r="K117" s="21">
        <f t="shared" si="15"/>
        <v>8.9743582089552249E-4</v>
      </c>
    </row>
    <row r="120" spans="1:11" x14ac:dyDescent="0.25">
      <c r="I120" t="s">
        <v>25</v>
      </c>
      <c r="K120">
        <v>62.005400000000002</v>
      </c>
    </row>
    <row r="121" spans="1:11" x14ac:dyDescent="0.25">
      <c r="H121" s="24"/>
      <c r="I121" t="s">
        <v>16</v>
      </c>
      <c r="K121">
        <v>1E-3</v>
      </c>
    </row>
    <row r="122" spans="1:11" ht="15.75" thickBot="1" x14ac:dyDescent="0.3">
      <c r="A122" s="70" t="s">
        <v>27</v>
      </c>
      <c r="B122" s="70"/>
      <c r="C122" s="70"/>
      <c r="D122" s="70"/>
      <c r="E122" s="70"/>
      <c r="F122" s="70"/>
      <c r="G122" s="70"/>
      <c r="H122" s="70"/>
    </row>
    <row r="123" spans="1:11" ht="15.75" thickBot="1" x14ac:dyDescent="0.3">
      <c r="I123" s="16" t="s">
        <v>22</v>
      </c>
      <c r="J123" s="20" t="s">
        <v>19</v>
      </c>
      <c r="K123" s="20" t="s">
        <v>20</v>
      </c>
    </row>
    <row r="124" spans="1:11" ht="15.75" thickBot="1" x14ac:dyDescent="0.3">
      <c r="A124" s="38" t="s">
        <v>0</v>
      </c>
      <c r="B124" s="39" t="s">
        <v>1</v>
      </c>
      <c r="C124" s="39" t="s">
        <v>2</v>
      </c>
      <c r="D124" s="39"/>
      <c r="E124" s="39" t="s">
        <v>28</v>
      </c>
      <c r="F124" s="40"/>
      <c r="G124" s="35"/>
      <c r="I124" s="17" t="s">
        <v>15</v>
      </c>
      <c r="J124" s="17" t="s">
        <v>18</v>
      </c>
      <c r="K124" s="17" t="s">
        <v>21</v>
      </c>
    </row>
    <row r="125" spans="1:11" x14ac:dyDescent="0.25">
      <c r="A125" s="3" t="s">
        <v>56</v>
      </c>
      <c r="B125" s="4"/>
      <c r="C125" s="62">
        <v>2.5</v>
      </c>
      <c r="D125" s="63"/>
      <c r="E125" s="68">
        <v>0</v>
      </c>
      <c r="F125" s="69"/>
      <c r="G125" s="35"/>
      <c r="I125" s="16">
        <f t="shared" ref="I125:I132" si="16">C125/1000000</f>
        <v>2.5000000000000002E-6</v>
      </c>
      <c r="J125" s="16">
        <f>$K$120*I125</f>
        <v>1.5501350000000002E-4</v>
      </c>
      <c r="K125" s="23">
        <f>J125*1000</f>
        <v>0.15501350000000003</v>
      </c>
    </row>
    <row r="126" spans="1:11" x14ac:dyDescent="0.25">
      <c r="A126" s="31" t="s">
        <v>11</v>
      </c>
      <c r="B126" s="2"/>
      <c r="C126" s="66">
        <v>5</v>
      </c>
      <c r="D126" s="67"/>
      <c r="E126" s="50">
        <f>(B126-0.0011)/0.0019</f>
        <v>-0.57894736842105265</v>
      </c>
      <c r="F126" s="51"/>
      <c r="G126" s="35"/>
      <c r="I126" s="18">
        <f t="shared" si="16"/>
        <v>5.0000000000000004E-6</v>
      </c>
      <c r="J126" s="18">
        <f>$K$120*I126</f>
        <v>3.1002700000000005E-4</v>
      </c>
      <c r="K126" s="21">
        <f t="shared" ref="K126:K132" si="17">J126*1000</f>
        <v>0.31002700000000005</v>
      </c>
    </row>
    <row r="127" spans="1:11" x14ac:dyDescent="0.25">
      <c r="A127" s="5" t="s">
        <v>8</v>
      </c>
      <c r="B127" s="6">
        <v>2.1999999999999999E-2</v>
      </c>
      <c r="C127" s="48">
        <v>10</v>
      </c>
      <c r="D127" s="49"/>
      <c r="E127" s="50">
        <f t="shared" ref="E127:E141" si="18">(B127-0.0011)/0.0019</f>
        <v>11</v>
      </c>
      <c r="F127" s="51"/>
      <c r="G127" s="35"/>
      <c r="I127" s="18">
        <f t="shared" si="16"/>
        <v>1.0000000000000001E-5</v>
      </c>
      <c r="J127" s="18">
        <f t="shared" ref="J127:J132" si="19">$K$120*I127</f>
        <v>6.2005400000000009E-4</v>
      </c>
      <c r="K127" s="21">
        <f t="shared" si="17"/>
        <v>0.62005400000000011</v>
      </c>
    </row>
    <row r="128" spans="1:11" x14ac:dyDescent="0.25">
      <c r="A128" s="5" t="s">
        <v>12</v>
      </c>
      <c r="B128" s="6"/>
      <c r="C128" s="48">
        <v>25</v>
      </c>
      <c r="D128" s="49"/>
      <c r="E128" s="50">
        <f t="shared" si="18"/>
        <v>-0.57894736842105265</v>
      </c>
      <c r="F128" s="51"/>
      <c r="G128" s="35"/>
      <c r="I128" s="18">
        <f t="shared" si="16"/>
        <v>2.5000000000000001E-5</v>
      </c>
      <c r="J128" s="18">
        <f t="shared" si="19"/>
        <v>1.550135E-3</v>
      </c>
      <c r="K128" s="21">
        <f t="shared" si="17"/>
        <v>1.550135</v>
      </c>
    </row>
    <row r="129" spans="1:11" x14ac:dyDescent="0.25">
      <c r="A129" s="5" t="s">
        <v>3</v>
      </c>
      <c r="B129" s="6">
        <v>0.10199999999999999</v>
      </c>
      <c r="C129" s="48">
        <v>50</v>
      </c>
      <c r="D129" s="49"/>
      <c r="E129" s="50">
        <f t="shared" si="18"/>
        <v>53.105263157894733</v>
      </c>
      <c r="F129" s="51"/>
      <c r="G129" s="35"/>
      <c r="I129" s="18">
        <f t="shared" si="16"/>
        <v>5.0000000000000002E-5</v>
      </c>
      <c r="J129" s="18">
        <f t="shared" si="19"/>
        <v>3.10027E-3</v>
      </c>
      <c r="K129" s="21">
        <f t="shared" si="17"/>
        <v>3.1002700000000001</v>
      </c>
    </row>
    <row r="130" spans="1:11" x14ac:dyDescent="0.25">
      <c r="A130" s="5" t="s">
        <v>4</v>
      </c>
      <c r="B130" s="6">
        <v>0.19400000000000001</v>
      </c>
      <c r="C130" s="48">
        <v>100</v>
      </c>
      <c r="D130" s="49"/>
      <c r="E130" s="50">
        <f t="shared" si="18"/>
        <v>101.5263157894737</v>
      </c>
      <c r="F130" s="51"/>
      <c r="G130" s="35"/>
      <c r="I130" s="18">
        <f t="shared" si="16"/>
        <v>1E-4</v>
      </c>
      <c r="J130" s="18">
        <f t="shared" si="19"/>
        <v>6.20054E-3</v>
      </c>
      <c r="K130" s="21">
        <f t="shared" si="17"/>
        <v>6.2005400000000002</v>
      </c>
    </row>
    <row r="131" spans="1:11" x14ac:dyDescent="0.25">
      <c r="A131" s="5" t="s">
        <v>5</v>
      </c>
      <c r="B131" s="6">
        <v>0.376</v>
      </c>
      <c r="C131" s="48">
        <v>200</v>
      </c>
      <c r="D131" s="49"/>
      <c r="E131" s="50">
        <f t="shared" si="18"/>
        <v>197.31578947368422</v>
      </c>
      <c r="F131" s="51"/>
      <c r="G131" s="35"/>
      <c r="I131" s="18">
        <f t="shared" si="16"/>
        <v>2.0000000000000001E-4</v>
      </c>
      <c r="J131" s="18">
        <f t="shared" si="19"/>
        <v>1.240108E-2</v>
      </c>
      <c r="K131" s="21">
        <f t="shared" si="17"/>
        <v>12.40108</v>
      </c>
    </row>
    <row r="132" spans="1:11" ht="15.75" thickBot="1" x14ac:dyDescent="0.3">
      <c r="A132" s="7" t="s">
        <v>6</v>
      </c>
      <c r="B132" s="8">
        <v>0.96699999999999997</v>
      </c>
      <c r="C132" s="52">
        <v>500</v>
      </c>
      <c r="D132" s="53"/>
      <c r="E132" s="54">
        <f t="shared" si="18"/>
        <v>508.36842105263156</v>
      </c>
      <c r="F132" s="55"/>
      <c r="G132" s="35"/>
      <c r="I132" s="19">
        <f t="shared" si="16"/>
        <v>5.0000000000000001E-4</v>
      </c>
      <c r="J132" s="19">
        <f t="shared" si="19"/>
        <v>3.1002700000000001E-2</v>
      </c>
      <c r="K132" s="22">
        <f t="shared" si="17"/>
        <v>31.002700000000001</v>
      </c>
    </row>
    <row r="133" spans="1:11" x14ac:dyDescent="0.25">
      <c r="A133" s="41" t="s">
        <v>93</v>
      </c>
      <c r="B133" s="9">
        <v>8.9999999999999993E-3</v>
      </c>
      <c r="C133" s="72"/>
      <c r="D133" s="78"/>
      <c r="E133" s="79">
        <f t="shared" si="18"/>
        <v>4.1578947368421044</v>
      </c>
      <c r="F133" s="80"/>
      <c r="G133" s="35"/>
      <c r="I133" s="18">
        <f>E133/1000000</f>
        <v>4.1578947368421041E-6</v>
      </c>
      <c r="J133" s="18">
        <f>$K$120*I133*$K$121</f>
        <v>2.578119263157894E-7</v>
      </c>
      <c r="K133" s="21">
        <f t="shared" ref="K133:K141" si="20">J133*1000000</f>
        <v>0.25781192631578942</v>
      </c>
    </row>
    <row r="134" spans="1:11" x14ac:dyDescent="0.25">
      <c r="A134" s="5" t="s">
        <v>94</v>
      </c>
      <c r="B134" s="6">
        <v>6.0000000000000001E-3</v>
      </c>
      <c r="C134" s="48"/>
      <c r="D134" s="49"/>
      <c r="E134" s="50">
        <f t="shared" si="18"/>
        <v>2.5789473684210527</v>
      </c>
      <c r="F134" s="51"/>
      <c r="G134" s="35"/>
      <c r="I134" s="18">
        <f>E134/1000000</f>
        <v>2.5789473684210527E-6</v>
      </c>
      <c r="J134" s="18">
        <f t="shared" ref="J134:J141" si="21">$K$120*I134*$K$121</f>
        <v>1.5990866315789475E-7</v>
      </c>
      <c r="K134" s="21">
        <f t="shared" si="20"/>
        <v>0.15990866315789476</v>
      </c>
    </row>
    <row r="135" spans="1:11" x14ac:dyDescent="0.25">
      <c r="A135" s="5" t="s">
        <v>95</v>
      </c>
      <c r="B135" s="6">
        <v>1.0999999999999999E-2</v>
      </c>
      <c r="C135" s="48"/>
      <c r="D135" s="49"/>
      <c r="E135" s="50">
        <f t="shared" si="18"/>
        <v>5.2105263157894735</v>
      </c>
      <c r="F135" s="51"/>
      <c r="G135" s="35"/>
      <c r="I135" s="18">
        <f t="shared" ref="I135:I141" si="22">E135/1000000</f>
        <v>5.2105263157894739E-6</v>
      </c>
      <c r="J135" s="18">
        <f t="shared" si="21"/>
        <v>3.2308076842105265E-7</v>
      </c>
      <c r="K135" s="21">
        <f t="shared" si="20"/>
        <v>0.32308076842105266</v>
      </c>
    </row>
    <row r="136" spans="1:11" x14ac:dyDescent="0.25">
      <c r="A136" s="5" t="s">
        <v>96</v>
      </c>
      <c r="B136" s="6">
        <v>7.0000000000000001E-3</v>
      </c>
      <c r="C136" s="48"/>
      <c r="D136" s="49"/>
      <c r="E136" s="50">
        <f t="shared" si="18"/>
        <v>3.1052631578947367</v>
      </c>
      <c r="F136" s="51"/>
      <c r="G136" s="35"/>
      <c r="I136" s="18">
        <f t="shared" si="22"/>
        <v>3.1052631578947368E-6</v>
      </c>
      <c r="J136" s="18">
        <f t="shared" si="21"/>
        <v>1.9254308421052633E-7</v>
      </c>
      <c r="K136" s="21">
        <f t="shared" si="20"/>
        <v>0.19254308421052632</v>
      </c>
    </row>
    <row r="137" spans="1:11" x14ac:dyDescent="0.25">
      <c r="A137" s="5" t="s">
        <v>97</v>
      </c>
      <c r="B137" s="6">
        <v>6.0000000000000001E-3</v>
      </c>
      <c r="C137" s="48"/>
      <c r="D137" s="49"/>
      <c r="E137" s="50">
        <f t="shared" si="18"/>
        <v>2.5789473684210527</v>
      </c>
      <c r="F137" s="51"/>
      <c r="G137" s="35"/>
      <c r="I137" s="18">
        <f t="shared" si="22"/>
        <v>2.5789473684210527E-6</v>
      </c>
      <c r="J137" s="18">
        <f t="shared" si="21"/>
        <v>1.5990866315789475E-7</v>
      </c>
      <c r="K137" s="21">
        <f t="shared" si="20"/>
        <v>0.15990866315789476</v>
      </c>
    </row>
    <row r="138" spans="1:11" x14ac:dyDescent="0.25">
      <c r="A138" s="5" t="s">
        <v>98</v>
      </c>
      <c r="B138" s="6">
        <v>4.4999999999999998E-2</v>
      </c>
      <c r="C138" s="48"/>
      <c r="D138" s="49"/>
      <c r="E138" s="50">
        <f t="shared" si="18"/>
        <v>23.105263157894736</v>
      </c>
      <c r="F138" s="51"/>
      <c r="G138" s="35"/>
      <c r="I138" s="18">
        <f t="shared" si="22"/>
        <v>2.3105263157894737E-5</v>
      </c>
      <c r="J138" s="18">
        <f t="shared" si="21"/>
        <v>1.4326510842105265E-6</v>
      </c>
      <c r="K138" s="21">
        <f t="shared" si="20"/>
        <v>1.4326510842105264</v>
      </c>
    </row>
    <row r="139" spans="1:11" x14ac:dyDescent="0.25">
      <c r="A139" s="5" t="s">
        <v>99</v>
      </c>
      <c r="B139" s="6">
        <v>3.5999999999999997E-2</v>
      </c>
      <c r="C139" s="48"/>
      <c r="D139" s="49"/>
      <c r="E139" s="50">
        <f t="shared" si="18"/>
        <v>18.368421052631579</v>
      </c>
      <c r="F139" s="51"/>
      <c r="G139" s="35"/>
      <c r="I139" s="18">
        <f t="shared" si="22"/>
        <v>1.8368421052631577E-5</v>
      </c>
      <c r="J139" s="18">
        <f t="shared" si="21"/>
        <v>1.1389412947368421E-6</v>
      </c>
      <c r="K139" s="21">
        <f t="shared" si="20"/>
        <v>1.138941294736842</v>
      </c>
    </row>
    <row r="140" spans="1:11" x14ac:dyDescent="0.25">
      <c r="A140" s="5" t="s">
        <v>100</v>
      </c>
      <c r="B140" s="6">
        <v>2.5999999999999999E-2</v>
      </c>
      <c r="C140" s="48"/>
      <c r="D140" s="49"/>
      <c r="E140" s="50">
        <f t="shared" si="18"/>
        <v>13.105263157894736</v>
      </c>
      <c r="F140" s="51"/>
      <c r="G140" s="35"/>
      <c r="I140" s="18">
        <f t="shared" si="22"/>
        <v>1.3105263157894736E-5</v>
      </c>
      <c r="J140" s="18">
        <f t="shared" si="21"/>
        <v>8.125970842105263E-7</v>
      </c>
      <c r="K140" s="21">
        <f t="shared" si="20"/>
        <v>0.81259708421052634</v>
      </c>
    </row>
    <row r="141" spans="1:11" ht="15.75" thickBot="1" x14ac:dyDescent="0.3">
      <c r="A141" s="7" t="s">
        <v>92</v>
      </c>
      <c r="B141" s="8">
        <v>3.0000000000000001E-3</v>
      </c>
      <c r="C141" s="52"/>
      <c r="D141" s="53"/>
      <c r="E141" s="54">
        <f t="shared" si="18"/>
        <v>1</v>
      </c>
      <c r="F141" s="55"/>
      <c r="I141" s="18">
        <f t="shared" si="22"/>
        <v>9.9999999999999995E-7</v>
      </c>
      <c r="J141" s="18">
        <f t="shared" si="21"/>
        <v>6.20054E-8</v>
      </c>
      <c r="K141" s="21">
        <f t="shared" si="20"/>
        <v>6.2005400000000002E-2</v>
      </c>
    </row>
  </sheetData>
  <mergeCells count="94">
    <mergeCell ref="C140:D140"/>
    <mergeCell ref="E140:F140"/>
    <mergeCell ref="C137:D137"/>
    <mergeCell ref="E137:F137"/>
    <mergeCell ref="C138:D138"/>
    <mergeCell ref="E138:F138"/>
    <mergeCell ref="C139:D139"/>
    <mergeCell ref="E139:F139"/>
    <mergeCell ref="C134:D134"/>
    <mergeCell ref="E134:F134"/>
    <mergeCell ref="C135:D135"/>
    <mergeCell ref="E135:F135"/>
    <mergeCell ref="C136:D136"/>
    <mergeCell ref="E136:F136"/>
    <mergeCell ref="C131:D131"/>
    <mergeCell ref="E131:F131"/>
    <mergeCell ref="C132:D132"/>
    <mergeCell ref="E132:F132"/>
    <mergeCell ref="C133:D133"/>
    <mergeCell ref="E133:F133"/>
    <mergeCell ref="C128:D128"/>
    <mergeCell ref="E128:F128"/>
    <mergeCell ref="C129:D129"/>
    <mergeCell ref="E129:F129"/>
    <mergeCell ref="C130:D130"/>
    <mergeCell ref="E130:F130"/>
    <mergeCell ref="C127:D127"/>
    <mergeCell ref="E127:F127"/>
    <mergeCell ref="C114:D114"/>
    <mergeCell ref="E114:F114"/>
    <mergeCell ref="C115:D115"/>
    <mergeCell ref="E115:F115"/>
    <mergeCell ref="C116:D116"/>
    <mergeCell ref="E116:F116"/>
    <mergeCell ref="A122:H122"/>
    <mergeCell ref="C125:D125"/>
    <mergeCell ref="E125:F125"/>
    <mergeCell ref="C126:D126"/>
    <mergeCell ref="E126:F126"/>
    <mergeCell ref="C111:D111"/>
    <mergeCell ref="E111:F111"/>
    <mergeCell ref="C112:D112"/>
    <mergeCell ref="E112:F112"/>
    <mergeCell ref="C113:D113"/>
    <mergeCell ref="E113:F113"/>
    <mergeCell ref="E107:F107"/>
    <mergeCell ref="E108:F108"/>
    <mergeCell ref="C109:D109"/>
    <mergeCell ref="E109:F109"/>
    <mergeCell ref="C110:D110"/>
    <mergeCell ref="E110:F110"/>
    <mergeCell ref="C67:D67"/>
    <mergeCell ref="E67:F67"/>
    <mergeCell ref="C68:D68"/>
    <mergeCell ref="E68:F68"/>
    <mergeCell ref="E106:F106"/>
    <mergeCell ref="C69:D69"/>
    <mergeCell ref="E69:F69"/>
    <mergeCell ref="C70:D70"/>
    <mergeCell ref="E70:F70"/>
    <mergeCell ref="C71:D71"/>
    <mergeCell ref="E71:F71"/>
    <mergeCell ref="C72:D72"/>
    <mergeCell ref="E72:F72"/>
    <mergeCell ref="E103:F103"/>
    <mergeCell ref="E104:F104"/>
    <mergeCell ref="E105:F105"/>
    <mergeCell ref="C64:D64"/>
    <mergeCell ref="E64:F64"/>
    <mergeCell ref="C65:D65"/>
    <mergeCell ref="E65:F65"/>
    <mergeCell ref="C66:D66"/>
    <mergeCell ref="E66:F66"/>
    <mergeCell ref="A1:H1"/>
    <mergeCell ref="C57:D57"/>
    <mergeCell ref="E57:F57"/>
    <mergeCell ref="C58:D58"/>
    <mergeCell ref="E58:F58"/>
    <mergeCell ref="C59:D59"/>
    <mergeCell ref="E59:F59"/>
    <mergeCell ref="E73:F73"/>
    <mergeCell ref="C73:D73"/>
    <mergeCell ref="C141:D141"/>
    <mergeCell ref="E141:F141"/>
    <mergeCell ref="C117:D117"/>
    <mergeCell ref="E117:F117"/>
    <mergeCell ref="C60:D60"/>
    <mergeCell ref="E60:F60"/>
    <mergeCell ref="C61:D61"/>
    <mergeCell ref="E61:F61"/>
    <mergeCell ref="C62:D62"/>
    <mergeCell ref="E62:F62"/>
    <mergeCell ref="C63:D63"/>
    <mergeCell ref="E63:F63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86EF-906E-4D10-BA9A-6359CCC6DFA0}">
  <dimension ref="A1:E37"/>
  <sheetViews>
    <sheetView topLeftCell="A19" workbookViewId="0">
      <selection activeCell="E37" sqref="E1:E37"/>
    </sheetView>
  </sheetViews>
  <sheetFormatPr baseColWidth="10" defaultRowHeight="15" x14ac:dyDescent="0.25"/>
  <sheetData>
    <row r="1" spans="1:5" x14ac:dyDescent="0.25">
      <c r="A1" s="43" t="s">
        <v>111</v>
      </c>
      <c r="B1" s="43" t="s">
        <v>108</v>
      </c>
      <c r="C1" s="43" t="s">
        <v>109</v>
      </c>
      <c r="D1" s="45" t="s">
        <v>110</v>
      </c>
      <c r="E1" s="43" t="s">
        <v>113</v>
      </c>
    </row>
    <row r="2" spans="1:5" x14ac:dyDescent="0.25">
      <c r="A2" s="44">
        <v>45834</v>
      </c>
      <c r="B2" s="42" t="s">
        <v>105</v>
      </c>
      <c r="C2" s="6">
        <v>1</v>
      </c>
      <c r="D2" s="46" t="str">
        <f>B2&amp;C2</f>
        <v>MT1</v>
      </c>
      <c r="E2" s="47">
        <v>0.17960875225806455</v>
      </c>
    </row>
    <row r="3" spans="1:5" x14ac:dyDescent="0.25">
      <c r="A3" s="44">
        <v>45834</v>
      </c>
      <c r="B3" s="42" t="s">
        <v>105</v>
      </c>
      <c r="C3" s="6">
        <v>2</v>
      </c>
      <c r="D3" s="46" t="str">
        <f t="shared" ref="D3:D10" si="0">B3&amp;C3</f>
        <v>MT2</v>
      </c>
      <c r="E3" s="47">
        <v>0</v>
      </c>
    </row>
    <row r="4" spans="1:5" x14ac:dyDescent="0.25">
      <c r="A4" s="44">
        <v>45834</v>
      </c>
      <c r="B4" s="42" t="s">
        <v>107</v>
      </c>
      <c r="C4" s="6">
        <v>1</v>
      </c>
      <c r="D4" s="46" t="str">
        <f t="shared" si="0"/>
        <v>MN1</v>
      </c>
      <c r="E4" s="47">
        <v>0</v>
      </c>
    </row>
    <row r="5" spans="1:5" x14ac:dyDescent="0.25">
      <c r="A5" s="44">
        <v>45834</v>
      </c>
      <c r="B5" s="42" t="s">
        <v>107</v>
      </c>
      <c r="C5" s="6">
        <v>2</v>
      </c>
      <c r="D5" s="46" t="str">
        <f t="shared" si="0"/>
        <v>MN2</v>
      </c>
      <c r="E5" s="47">
        <v>0</v>
      </c>
    </row>
    <row r="6" spans="1:5" x14ac:dyDescent="0.25">
      <c r="A6" s="44">
        <v>45834</v>
      </c>
      <c r="B6" s="42" t="s">
        <v>107</v>
      </c>
      <c r="C6" s="6">
        <v>3</v>
      </c>
      <c r="D6" s="46" t="str">
        <f t="shared" si="0"/>
        <v>MN3</v>
      </c>
      <c r="E6" s="47">
        <v>0</v>
      </c>
    </row>
    <row r="7" spans="1:5" x14ac:dyDescent="0.25">
      <c r="A7" s="44">
        <v>45834</v>
      </c>
      <c r="B7" s="42" t="s">
        <v>17</v>
      </c>
      <c r="C7" s="6">
        <v>1</v>
      </c>
      <c r="D7" s="46" t="str">
        <f t="shared" si="0"/>
        <v>L1</v>
      </c>
      <c r="E7" s="47">
        <v>5.9352352258064525E-2</v>
      </c>
    </row>
    <row r="8" spans="1:5" x14ac:dyDescent="0.25">
      <c r="A8" s="44">
        <v>45834</v>
      </c>
      <c r="B8" s="42" t="s">
        <v>17</v>
      </c>
      <c r="C8" s="6">
        <v>2</v>
      </c>
      <c r="D8" s="46" t="str">
        <f t="shared" si="0"/>
        <v>L2</v>
      </c>
      <c r="E8" s="47">
        <v>1.7390627135483876</v>
      </c>
    </row>
    <row r="9" spans="1:5" x14ac:dyDescent="0.25">
      <c r="A9" s="44">
        <v>45834</v>
      </c>
      <c r="B9" s="42" t="s">
        <v>17</v>
      </c>
      <c r="C9" s="6">
        <v>3</v>
      </c>
      <c r="D9" s="46" t="str">
        <f t="shared" si="0"/>
        <v>L3</v>
      </c>
      <c r="E9" s="47">
        <v>0.66645321032258065</v>
      </c>
    </row>
    <row r="10" spans="1:5" x14ac:dyDescent="0.25">
      <c r="A10" s="44">
        <v>45834</v>
      </c>
      <c r="B10" s="42" t="s">
        <v>17</v>
      </c>
      <c r="C10" s="6">
        <v>4</v>
      </c>
      <c r="D10" s="46" t="str">
        <f t="shared" si="0"/>
        <v>L4</v>
      </c>
      <c r="E10" s="6" t="s">
        <v>106</v>
      </c>
    </row>
    <row r="11" spans="1:5" x14ac:dyDescent="0.25">
      <c r="A11" s="44">
        <v>45861</v>
      </c>
      <c r="B11" s="42" t="s">
        <v>105</v>
      </c>
      <c r="C11" s="6">
        <v>1</v>
      </c>
      <c r="D11" s="46" t="str">
        <f>B11&amp;C11</f>
        <v>MT1</v>
      </c>
      <c r="E11" s="47">
        <v>0.17960875225806455</v>
      </c>
    </row>
    <row r="12" spans="1:5" x14ac:dyDescent="0.25">
      <c r="A12" s="44">
        <v>45861</v>
      </c>
      <c r="B12" s="42" t="s">
        <v>105</v>
      </c>
      <c r="C12" s="6">
        <v>2</v>
      </c>
      <c r="D12" s="46" t="str">
        <f t="shared" ref="D12:D19" si="1">B12&amp;C12</f>
        <v>MT2</v>
      </c>
      <c r="E12" s="47">
        <v>0</v>
      </c>
    </row>
    <row r="13" spans="1:5" x14ac:dyDescent="0.25">
      <c r="A13" s="44">
        <v>45861</v>
      </c>
      <c r="B13" s="42" t="s">
        <v>107</v>
      </c>
      <c r="C13" s="6">
        <v>1</v>
      </c>
      <c r="D13" s="46" t="str">
        <f t="shared" si="1"/>
        <v>MN1</v>
      </c>
      <c r="E13" s="47">
        <v>0</v>
      </c>
    </row>
    <row r="14" spans="1:5" x14ac:dyDescent="0.25">
      <c r="A14" s="44">
        <v>45861</v>
      </c>
      <c r="B14" s="42" t="s">
        <v>107</v>
      </c>
      <c r="C14" s="6">
        <v>2</v>
      </c>
      <c r="D14" s="46" t="str">
        <f t="shared" si="1"/>
        <v>MN2</v>
      </c>
      <c r="E14" s="47">
        <v>0</v>
      </c>
    </row>
    <row r="15" spans="1:5" x14ac:dyDescent="0.25">
      <c r="A15" s="44">
        <v>45861</v>
      </c>
      <c r="B15" s="42" t="s">
        <v>107</v>
      </c>
      <c r="C15" s="6">
        <v>3</v>
      </c>
      <c r="D15" s="46" t="str">
        <f t="shared" si="1"/>
        <v>MN3</v>
      </c>
      <c r="E15" s="47">
        <v>0</v>
      </c>
    </row>
    <row r="16" spans="1:5" x14ac:dyDescent="0.25">
      <c r="A16" s="44">
        <v>45861</v>
      </c>
      <c r="B16" s="42" t="s">
        <v>17</v>
      </c>
      <c r="C16" s="6">
        <v>1</v>
      </c>
      <c r="D16" s="46" t="str">
        <f t="shared" si="1"/>
        <v>L1</v>
      </c>
      <c r="E16" s="47">
        <v>5.9352352258064525E-2</v>
      </c>
    </row>
    <row r="17" spans="1:5" x14ac:dyDescent="0.25">
      <c r="A17" s="44">
        <v>45861</v>
      </c>
      <c r="B17" s="42" t="s">
        <v>17</v>
      </c>
      <c r="C17" s="6">
        <v>2</v>
      </c>
      <c r="D17" s="46" t="str">
        <f t="shared" si="1"/>
        <v>L2</v>
      </c>
      <c r="E17" s="47">
        <v>1.7390627135483876</v>
      </c>
    </row>
    <row r="18" spans="1:5" x14ac:dyDescent="0.25">
      <c r="A18" s="44">
        <v>45861</v>
      </c>
      <c r="B18" s="42" t="s">
        <v>17</v>
      </c>
      <c r="C18" s="6">
        <v>3</v>
      </c>
      <c r="D18" s="46" t="str">
        <f t="shared" si="1"/>
        <v>L3</v>
      </c>
      <c r="E18" s="47">
        <v>0.66645321032258065</v>
      </c>
    </row>
    <row r="19" spans="1:5" x14ac:dyDescent="0.25">
      <c r="A19" s="44">
        <v>45861</v>
      </c>
      <c r="B19" s="42" t="s">
        <v>17</v>
      </c>
      <c r="C19" s="6">
        <v>4</v>
      </c>
      <c r="D19" s="46" t="str">
        <f t="shared" si="1"/>
        <v>L4</v>
      </c>
      <c r="E19" s="6" t="s">
        <v>106</v>
      </c>
    </row>
    <row r="20" spans="1:5" x14ac:dyDescent="0.25">
      <c r="A20" s="44">
        <v>45900</v>
      </c>
      <c r="B20" s="42" t="s">
        <v>105</v>
      </c>
      <c r="C20" s="6">
        <v>1</v>
      </c>
      <c r="D20" s="46" t="str">
        <f>B20&amp;C20</f>
        <v>MT1</v>
      </c>
      <c r="E20" s="47">
        <v>3.5325317500000009E-2</v>
      </c>
    </row>
    <row r="21" spans="1:5" x14ac:dyDescent="0.25">
      <c r="A21" s="44">
        <v>45900</v>
      </c>
      <c r="B21" s="42" t="s">
        <v>105</v>
      </c>
      <c r="C21" s="6">
        <v>2</v>
      </c>
      <c r="D21" s="46" t="str">
        <f t="shared" ref="D21:D28" si="2">B21&amp;C21</f>
        <v>MT2</v>
      </c>
      <c r="E21" s="47">
        <v>2.3577770425000004</v>
      </c>
    </row>
    <row r="22" spans="1:5" x14ac:dyDescent="0.25">
      <c r="A22" s="44">
        <v>45900</v>
      </c>
      <c r="B22" s="42" t="s">
        <v>107</v>
      </c>
      <c r="C22" s="6">
        <v>1</v>
      </c>
      <c r="D22" s="46" t="str">
        <f t="shared" si="2"/>
        <v>MN1</v>
      </c>
      <c r="E22" s="47">
        <v>2.4051280000000001E-2</v>
      </c>
    </row>
    <row r="23" spans="1:5" x14ac:dyDescent="0.25">
      <c r="A23" s="44">
        <v>45900</v>
      </c>
      <c r="B23" s="42" t="s">
        <v>107</v>
      </c>
      <c r="C23" s="6">
        <v>2</v>
      </c>
      <c r="D23" s="46" t="str">
        <f t="shared" si="2"/>
        <v>MN2</v>
      </c>
      <c r="E23" s="47">
        <v>1.089823625E-2</v>
      </c>
    </row>
    <row r="24" spans="1:5" x14ac:dyDescent="0.25">
      <c r="A24" s="44">
        <v>45900</v>
      </c>
      <c r="B24" s="42" t="s">
        <v>107</v>
      </c>
      <c r="C24" s="6">
        <v>3</v>
      </c>
      <c r="D24" s="46" t="str">
        <f t="shared" si="2"/>
        <v>MN3</v>
      </c>
      <c r="E24" s="47">
        <v>1.8414261250000005E-2</v>
      </c>
    </row>
    <row r="25" spans="1:5" x14ac:dyDescent="0.25">
      <c r="A25" s="44">
        <v>45900</v>
      </c>
      <c r="B25" s="42" t="s">
        <v>17</v>
      </c>
      <c r="C25" s="6">
        <v>1</v>
      </c>
      <c r="D25" s="46" t="str">
        <f t="shared" si="2"/>
        <v>L1</v>
      </c>
      <c r="E25" s="47">
        <v>0.59339017375000014</v>
      </c>
    </row>
    <row r="26" spans="1:5" x14ac:dyDescent="0.25">
      <c r="A26" s="44">
        <v>45900</v>
      </c>
      <c r="B26" s="42" t="s">
        <v>17</v>
      </c>
      <c r="C26" s="6">
        <v>2</v>
      </c>
      <c r="D26" s="46" t="str">
        <f t="shared" si="2"/>
        <v>L2</v>
      </c>
      <c r="E26" s="47">
        <v>8.605848625000001E-2</v>
      </c>
    </row>
    <row r="27" spans="1:5" x14ac:dyDescent="0.25">
      <c r="A27" s="44">
        <v>45900</v>
      </c>
      <c r="B27" s="42" t="s">
        <v>17</v>
      </c>
      <c r="C27" s="6">
        <v>3</v>
      </c>
      <c r="D27" s="46" t="str">
        <f t="shared" si="2"/>
        <v>L3</v>
      </c>
      <c r="E27" s="47">
        <v>5.4115380000000005E-2</v>
      </c>
    </row>
    <row r="28" spans="1:5" x14ac:dyDescent="0.25">
      <c r="A28" s="44">
        <v>45900</v>
      </c>
      <c r="B28" s="42" t="s">
        <v>17</v>
      </c>
      <c r="C28" s="6">
        <v>4</v>
      </c>
      <c r="D28" s="46" t="str">
        <f t="shared" si="2"/>
        <v>L4</v>
      </c>
      <c r="E28" s="6" t="s">
        <v>106</v>
      </c>
    </row>
    <row r="29" spans="1:5" x14ac:dyDescent="0.25">
      <c r="A29" s="44">
        <v>45924</v>
      </c>
      <c r="B29" s="42" t="s">
        <v>105</v>
      </c>
      <c r="C29" s="6">
        <v>1</v>
      </c>
      <c r="D29" s="46" t="str">
        <f>B29&amp;C29</f>
        <v>MT1</v>
      </c>
      <c r="E29" s="47">
        <v>5.7244500612244911E-2</v>
      </c>
    </row>
    <row r="30" spans="1:5" x14ac:dyDescent="0.25">
      <c r="A30" s="44">
        <v>45924</v>
      </c>
      <c r="B30" s="42" t="s">
        <v>105</v>
      </c>
      <c r="C30" s="6">
        <v>2</v>
      </c>
      <c r="D30" s="46" t="str">
        <f t="shared" ref="D30:D37" si="3">B30&amp;C30</f>
        <v>MT2</v>
      </c>
      <c r="E30" s="47">
        <v>0.39408513122448985</v>
      </c>
    </row>
    <row r="31" spans="1:5" x14ac:dyDescent="0.25">
      <c r="A31" s="44">
        <v>45924</v>
      </c>
      <c r="B31" s="42" t="s">
        <v>107</v>
      </c>
      <c r="C31" s="6">
        <v>1</v>
      </c>
      <c r="D31" s="46" t="str">
        <f t="shared" si="3"/>
        <v>MN1</v>
      </c>
      <c r="E31" s="47">
        <v>0.12718954959183673</v>
      </c>
    </row>
    <row r="32" spans="1:5" x14ac:dyDescent="0.25">
      <c r="A32" s="44">
        <v>45924</v>
      </c>
      <c r="B32" s="42" t="s">
        <v>107</v>
      </c>
      <c r="C32" s="6">
        <v>2</v>
      </c>
      <c r="D32" s="46" t="str">
        <f t="shared" si="3"/>
        <v>MN2</v>
      </c>
      <c r="E32" s="47">
        <v>3.5156590408163269E-2</v>
      </c>
    </row>
    <row r="33" spans="1:5" x14ac:dyDescent="0.25">
      <c r="A33" s="44">
        <v>45924</v>
      </c>
      <c r="B33" s="42" t="s">
        <v>107</v>
      </c>
      <c r="C33" s="6">
        <v>3</v>
      </c>
      <c r="D33" s="46" t="str">
        <f t="shared" si="3"/>
        <v>MN3</v>
      </c>
      <c r="E33" s="47">
        <v>2.5953294489795921E-2</v>
      </c>
    </row>
    <row r="34" spans="1:5" x14ac:dyDescent="0.25">
      <c r="A34" s="44">
        <v>45924</v>
      </c>
      <c r="B34" s="42" t="s">
        <v>17</v>
      </c>
      <c r="C34" s="6">
        <v>1</v>
      </c>
      <c r="D34" s="46" t="str">
        <f t="shared" si="3"/>
        <v>L1</v>
      </c>
      <c r="E34" s="47">
        <v>0.19713459857142859</v>
      </c>
    </row>
    <row r="35" spans="1:5" x14ac:dyDescent="0.25">
      <c r="A35" s="44">
        <v>45924</v>
      </c>
      <c r="B35" s="42" t="s">
        <v>17</v>
      </c>
      <c r="C35" s="6">
        <v>2</v>
      </c>
      <c r="D35" s="46" t="str">
        <f t="shared" si="3"/>
        <v>L2</v>
      </c>
      <c r="E35" s="47">
        <v>0.38856315367346944</v>
      </c>
    </row>
    <row r="36" spans="1:5" x14ac:dyDescent="0.25">
      <c r="A36" s="44">
        <v>45924</v>
      </c>
      <c r="B36" s="42" t="s">
        <v>17</v>
      </c>
      <c r="C36" s="6">
        <v>3</v>
      </c>
      <c r="D36" s="46" t="str">
        <f t="shared" si="3"/>
        <v>L3</v>
      </c>
      <c r="E36" s="47">
        <v>0.39408513122448985</v>
      </c>
    </row>
    <row r="37" spans="1:5" x14ac:dyDescent="0.25">
      <c r="A37" s="44">
        <v>45924</v>
      </c>
      <c r="B37" s="42" t="s">
        <v>17</v>
      </c>
      <c r="C37" s="6">
        <v>4</v>
      </c>
      <c r="D37" s="46" t="str">
        <f t="shared" si="3"/>
        <v>L4</v>
      </c>
      <c r="E37" s="47">
        <v>4.6200545510204097E-2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8991-18A6-470D-B4B1-E513F9C4E059}">
  <dimension ref="A1:E37"/>
  <sheetViews>
    <sheetView workbookViewId="0">
      <selection activeCell="F10" sqref="F10"/>
    </sheetView>
  </sheetViews>
  <sheetFormatPr baseColWidth="10" defaultRowHeight="15" x14ac:dyDescent="0.25"/>
  <sheetData>
    <row r="1" spans="1:5" x14ac:dyDescent="0.25">
      <c r="A1" s="43" t="s">
        <v>111</v>
      </c>
      <c r="B1" s="43" t="s">
        <v>108</v>
      </c>
      <c r="C1" s="43" t="s">
        <v>109</v>
      </c>
      <c r="D1" s="45" t="s">
        <v>110</v>
      </c>
      <c r="E1" s="43" t="s">
        <v>112</v>
      </c>
    </row>
    <row r="2" spans="1:5" x14ac:dyDescent="0.25">
      <c r="A2" s="44">
        <v>45834</v>
      </c>
      <c r="B2" s="42" t="s">
        <v>105</v>
      </c>
      <c r="C2" s="6">
        <v>1</v>
      </c>
      <c r="D2" s="46" t="str">
        <f>B2&amp;C2</f>
        <v>MT1</v>
      </c>
      <c r="E2" s="47">
        <v>1.6712102647058826E-2</v>
      </c>
    </row>
    <row r="3" spans="1:5" x14ac:dyDescent="0.25">
      <c r="A3" s="44">
        <v>45834</v>
      </c>
      <c r="B3" s="42" t="s">
        <v>105</v>
      </c>
      <c r="C3" s="6">
        <v>2</v>
      </c>
      <c r="D3" s="46" t="str">
        <f t="shared" ref="D3:D10" si="0">B3&amp;C3</f>
        <v>MT2</v>
      </c>
      <c r="E3" s="47">
        <v>4.3327673529411775E-3</v>
      </c>
    </row>
    <row r="4" spans="1:5" x14ac:dyDescent="0.25">
      <c r="A4" s="44">
        <v>45834</v>
      </c>
      <c r="B4" s="42" t="s">
        <v>107</v>
      </c>
      <c r="C4" s="6">
        <v>1</v>
      </c>
      <c r="D4" s="46" t="str">
        <f t="shared" si="0"/>
        <v>MN1</v>
      </c>
      <c r="E4" s="47">
        <v>4.3327673529411775E-3</v>
      </c>
    </row>
    <row r="5" spans="1:5" x14ac:dyDescent="0.25">
      <c r="A5" s="44">
        <v>45834</v>
      </c>
      <c r="B5" s="42" t="s">
        <v>107</v>
      </c>
      <c r="C5" s="6">
        <v>2</v>
      </c>
      <c r="D5" s="46" t="str">
        <f t="shared" si="0"/>
        <v>MN2</v>
      </c>
      <c r="E5" s="47">
        <v>4.3327673529411775E-3</v>
      </c>
    </row>
    <row r="6" spans="1:5" x14ac:dyDescent="0.25">
      <c r="A6" s="44">
        <v>45834</v>
      </c>
      <c r="B6" s="42" t="s">
        <v>107</v>
      </c>
      <c r="C6" s="6">
        <v>3</v>
      </c>
      <c r="D6" s="46" t="str">
        <f t="shared" si="0"/>
        <v>MN3</v>
      </c>
      <c r="E6" s="47">
        <v>4.3327673529411775E-3</v>
      </c>
    </row>
    <row r="7" spans="1:5" x14ac:dyDescent="0.25">
      <c r="A7" s="44">
        <v>45834</v>
      </c>
      <c r="B7" s="42" t="s">
        <v>17</v>
      </c>
      <c r="C7" s="6">
        <v>1</v>
      </c>
      <c r="D7" s="46" t="str">
        <f t="shared" si="0"/>
        <v>L1</v>
      </c>
      <c r="E7" s="47">
        <v>9.6381967647058819E-3</v>
      </c>
    </row>
    <row r="8" spans="1:5" x14ac:dyDescent="0.25">
      <c r="A8" s="44">
        <v>45834</v>
      </c>
      <c r="B8" s="42" t="s">
        <v>17</v>
      </c>
      <c r="C8" s="6">
        <v>2</v>
      </c>
      <c r="D8" s="46" t="str">
        <f t="shared" si="0"/>
        <v>L2</v>
      </c>
      <c r="E8" s="47">
        <v>3.881805852941176E-2</v>
      </c>
    </row>
    <row r="9" spans="1:5" x14ac:dyDescent="0.25">
      <c r="A9" s="44">
        <v>45834</v>
      </c>
      <c r="B9" s="42" t="s">
        <v>17</v>
      </c>
      <c r="C9" s="6">
        <v>3</v>
      </c>
      <c r="D9" s="46" t="str">
        <f t="shared" si="0"/>
        <v>L3</v>
      </c>
      <c r="E9" s="47">
        <v>1.2290911470588233E-2</v>
      </c>
    </row>
    <row r="10" spans="1:5" x14ac:dyDescent="0.25">
      <c r="A10" s="44">
        <v>45834</v>
      </c>
      <c r="B10" s="42" t="s">
        <v>17</v>
      </c>
      <c r="C10" s="6">
        <v>4</v>
      </c>
      <c r="D10" s="46" t="str">
        <f t="shared" si="0"/>
        <v>L4</v>
      </c>
      <c r="E10" s="6" t="s">
        <v>106</v>
      </c>
    </row>
    <row r="11" spans="1:5" x14ac:dyDescent="0.25">
      <c r="A11" s="44">
        <v>45861</v>
      </c>
      <c r="B11" s="42" t="s">
        <v>105</v>
      </c>
      <c r="C11" s="6">
        <v>1</v>
      </c>
      <c r="D11" s="46" t="str">
        <f>B11&amp;C11</f>
        <v>MT1</v>
      </c>
      <c r="E11" s="47">
        <v>1.6712102647058826E-2</v>
      </c>
    </row>
    <row r="12" spans="1:5" x14ac:dyDescent="0.25">
      <c r="A12" s="44">
        <v>45861</v>
      </c>
      <c r="B12" s="42" t="s">
        <v>105</v>
      </c>
      <c r="C12" s="6">
        <v>2</v>
      </c>
      <c r="D12" s="46" t="str">
        <f t="shared" ref="D12:D19" si="1">B12&amp;C12</f>
        <v>MT2</v>
      </c>
      <c r="E12" s="47">
        <v>4.3327673529411775E-3</v>
      </c>
    </row>
    <row r="13" spans="1:5" x14ac:dyDescent="0.25">
      <c r="A13" s="44">
        <v>45861</v>
      </c>
      <c r="B13" s="42" t="s">
        <v>107</v>
      </c>
      <c r="C13" s="6">
        <v>1</v>
      </c>
      <c r="D13" s="46" t="str">
        <f t="shared" si="1"/>
        <v>MN1</v>
      </c>
      <c r="E13" s="47">
        <v>4.3327673529411775E-3</v>
      </c>
    </row>
    <row r="14" spans="1:5" x14ac:dyDescent="0.25">
      <c r="A14" s="44">
        <v>45861</v>
      </c>
      <c r="B14" s="42" t="s">
        <v>107</v>
      </c>
      <c r="C14" s="6">
        <v>2</v>
      </c>
      <c r="D14" s="46" t="str">
        <f t="shared" si="1"/>
        <v>MN2</v>
      </c>
      <c r="E14" s="47">
        <v>4.3327673529411775E-3</v>
      </c>
    </row>
    <row r="15" spans="1:5" x14ac:dyDescent="0.25">
      <c r="A15" s="44">
        <v>45861</v>
      </c>
      <c r="B15" s="42" t="s">
        <v>107</v>
      </c>
      <c r="C15" s="6">
        <v>3</v>
      </c>
      <c r="D15" s="46" t="str">
        <f t="shared" si="1"/>
        <v>MN3</v>
      </c>
      <c r="E15" s="47">
        <v>4.3327673529411775E-3</v>
      </c>
    </row>
    <row r="16" spans="1:5" x14ac:dyDescent="0.25">
      <c r="A16" s="44">
        <v>45861</v>
      </c>
      <c r="B16" s="42" t="s">
        <v>17</v>
      </c>
      <c r="C16" s="6">
        <v>1</v>
      </c>
      <c r="D16" s="46" t="str">
        <f t="shared" si="1"/>
        <v>L1</v>
      </c>
      <c r="E16" s="47">
        <v>9.6381967647058819E-3</v>
      </c>
    </row>
    <row r="17" spans="1:5" x14ac:dyDescent="0.25">
      <c r="A17" s="44">
        <v>45861</v>
      </c>
      <c r="B17" s="42" t="s">
        <v>17</v>
      </c>
      <c r="C17" s="6">
        <v>2</v>
      </c>
      <c r="D17" s="46" t="str">
        <f t="shared" si="1"/>
        <v>L2</v>
      </c>
      <c r="E17" s="47">
        <v>3.881805852941176E-2</v>
      </c>
    </row>
    <row r="18" spans="1:5" x14ac:dyDescent="0.25">
      <c r="A18" s="44">
        <v>45861</v>
      </c>
      <c r="B18" s="42" t="s">
        <v>17</v>
      </c>
      <c r="C18" s="6">
        <v>3</v>
      </c>
      <c r="D18" s="46" t="str">
        <f t="shared" si="1"/>
        <v>L3</v>
      </c>
      <c r="E18" s="47">
        <v>1.2290911470588233E-2</v>
      </c>
    </row>
    <row r="19" spans="1:5" x14ac:dyDescent="0.25">
      <c r="A19" s="44">
        <v>45861</v>
      </c>
      <c r="B19" s="42" t="s">
        <v>17</v>
      </c>
      <c r="C19" s="6">
        <v>4</v>
      </c>
      <c r="D19" s="46" t="str">
        <f t="shared" si="1"/>
        <v>L4</v>
      </c>
      <c r="E19" s="6" t="s">
        <v>106</v>
      </c>
    </row>
    <row r="20" spans="1:5" x14ac:dyDescent="0.25">
      <c r="A20" s="44">
        <v>45900</v>
      </c>
      <c r="B20" s="42" t="s">
        <v>105</v>
      </c>
      <c r="C20" s="6">
        <v>1</v>
      </c>
      <c r="D20" s="46" t="str">
        <f>B20&amp;C20</f>
        <v>MT1</v>
      </c>
      <c r="E20" s="47">
        <v>1.2823549763033177E-2</v>
      </c>
    </row>
    <row r="21" spans="1:5" x14ac:dyDescent="0.25">
      <c r="A21" s="44">
        <v>45900</v>
      </c>
      <c r="B21" s="42" t="s">
        <v>105</v>
      </c>
      <c r="C21" s="6">
        <v>2</v>
      </c>
      <c r="D21" s="46" t="str">
        <f t="shared" ref="D21:D28" si="2">B21&amp;C21</f>
        <v>MT2</v>
      </c>
      <c r="E21" s="47">
        <v>8.5490331753554491E-4</v>
      </c>
    </row>
    <row r="22" spans="1:5" x14ac:dyDescent="0.25">
      <c r="A22" s="44">
        <v>45900</v>
      </c>
      <c r="B22" s="42" t="s">
        <v>107</v>
      </c>
      <c r="C22" s="6">
        <v>1</v>
      </c>
      <c r="D22" s="46" t="str">
        <f t="shared" si="2"/>
        <v>MN1</v>
      </c>
      <c r="E22" s="47">
        <v>8.5490331753554491E-4</v>
      </c>
    </row>
    <row r="23" spans="1:5" x14ac:dyDescent="0.25">
      <c r="A23" s="44">
        <v>45900</v>
      </c>
      <c r="B23" s="42" t="s">
        <v>107</v>
      </c>
      <c r="C23" s="6">
        <v>2</v>
      </c>
      <c r="D23" s="46" t="str">
        <f t="shared" si="2"/>
        <v>MN2</v>
      </c>
      <c r="E23" s="47">
        <v>8.5490331753554491E-4</v>
      </c>
    </row>
    <row r="24" spans="1:5" x14ac:dyDescent="0.25">
      <c r="A24" s="44">
        <v>45900</v>
      </c>
      <c r="B24" s="42" t="s">
        <v>107</v>
      </c>
      <c r="C24" s="6">
        <v>3</v>
      </c>
      <c r="D24" s="46" t="str">
        <f t="shared" si="2"/>
        <v>MN3</v>
      </c>
      <c r="E24" s="47">
        <v>8.5490331753554491E-4</v>
      </c>
    </row>
    <row r="25" spans="1:5" x14ac:dyDescent="0.25">
      <c r="A25" s="44">
        <v>45900</v>
      </c>
      <c r="B25" s="42" t="s">
        <v>17</v>
      </c>
      <c r="C25" s="6">
        <v>1</v>
      </c>
      <c r="D25" s="46" t="str">
        <f t="shared" si="2"/>
        <v>L1</v>
      </c>
      <c r="E25" s="47">
        <v>5.9843232227488148E-3</v>
      </c>
    </row>
    <row r="26" spans="1:5" x14ac:dyDescent="0.25">
      <c r="A26" s="44">
        <v>45900</v>
      </c>
      <c r="B26" s="42" t="s">
        <v>17</v>
      </c>
      <c r="C26" s="6">
        <v>2</v>
      </c>
      <c r="D26" s="46" t="str">
        <f t="shared" si="2"/>
        <v>L2</v>
      </c>
      <c r="E26" s="47">
        <v>3.4196132701421807E-2</v>
      </c>
    </row>
    <row r="27" spans="1:5" x14ac:dyDescent="0.25">
      <c r="A27" s="44">
        <v>45900</v>
      </c>
      <c r="B27" s="42" t="s">
        <v>17</v>
      </c>
      <c r="C27" s="6">
        <v>3</v>
      </c>
      <c r="D27" s="46" t="str">
        <f t="shared" si="2"/>
        <v>L3</v>
      </c>
      <c r="E27" s="47">
        <v>8.5490331753554482E-3</v>
      </c>
    </row>
    <row r="28" spans="1:5" x14ac:dyDescent="0.25">
      <c r="A28" s="44">
        <v>45900</v>
      </c>
      <c r="B28" s="42" t="s">
        <v>17</v>
      </c>
      <c r="C28" s="6">
        <v>4</v>
      </c>
      <c r="D28" s="46" t="str">
        <f t="shared" si="2"/>
        <v>L4</v>
      </c>
      <c r="E28" s="6" t="s">
        <v>106</v>
      </c>
    </row>
    <row r="29" spans="1:5" x14ac:dyDescent="0.25">
      <c r="A29" s="44">
        <v>45924</v>
      </c>
      <c r="B29" s="42" t="s">
        <v>105</v>
      </c>
      <c r="C29" s="6">
        <v>1</v>
      </c>
      <c r="D29" s="46" t="str">
        <f>B29&amp;C29</f>
        <v>MT1</v>
      </c>
      <c r="E29" s="47">
        <v>8.9743582089552249E-4</v>
      </c>
    </row>
    <row r="30" spans="1:5" x14ac:dyDescent="0.25">
      <c r="A30" s="44">
        <v>45924</v>
      </c>
      <c r="B30" s="42" t="s">
        <v>105</v>
      </c>
      <c r="C30" s="6">
        <v>2</v>
      </c>
      <c r="D30" s="46" t="str">
        <f t="shared" ref="D30:D37" si="3">B30&amp;C30</f>
        <v>MT2</v>
      </c>
      <c r="E30" s="47">
        <v>8.9743582089552249E-4</v>
      </c>
    </row>
    <row r="31" spans="1:5" x14ac:dyDescent="0.25">
      <c r="A31" s="44">
        <v>45924</v>
      </c>
      <c r="B31" s="42" t="s">
        <v>107</v>
      </c>
      <c r="C31" s="6">
        <v>1</v>
      </c>
      <c r="D31" s="46" t="str">
        <f t="shared" si="3"/>
        <v>MN1</v>
      </c>
      <c r="E31" s="47">
        <v>8.9743582089552249E-4</v>
      </c>
    </row>
    <row r="32" spans="1:5" x14ac:dyDescent="0.25">
      <c r="A32" s="44">
        <v>45924</v>
      </c>
      <c r="B32" s="42" t="s">
        <v>107</v>
      </c>
      <c r="C32" s="6">
        <v>2</v>
      </c>
      <c r="D32" s="46" t="str">
        <f t="shared" si="3"/>
        <v>MN2</v>
      </c>
      <c r="E32" s="47">
        <v>8.9743582089552249E-4</v>
      </c>
    </row>
    <row r="33" spans="1:5" x14ac:dyDescent="0.25">
      <c r="A33" s="44">
        <v>45924</v>
      </c>
      <c r="B33" s="42" t="s">
        <v>107</v>
      </c>
      <c r="C33" s="6">
        <v>3</v>
      </c>
      <c r="D33" s="46" t="str">
        <f t="shared" si="3"/>
        <v>MN3</v>
      </c>
      <c r="E33" s="47">
        <v>8.9743582089552249E-4</v>
      </c>
    </row>
    <row r="34" spans="1:5" x14ac:dyDescent="0.25">
      <c r="A34" s="44">
        <v>45924</v>
      </c>
      <c r="B34" s="42" t="s">
        <v>17</v>
      </c>
      <c r="C34" s="6">
        <v>1</v>
      </c>
      <c r="D34" s="46" t="str">
        <f t="shared" si="3"/>
        <v>L1</v>
      </c>
      <c r="E34" s="47">
        <v>8.9743582089552249E-4</v>
      </c>
    </row>
    <row r="35" spans="1:5" x14ac:dyDescent="0.25">
      <c r="A35" s="44">
        <v>45924</v>
      </c>
      <c r="B35" s="42" t="s">
        <v>17</v>
      </c>
      <c r="C35" s="6">
        <v>2</v>
      </c>
      <c r="D35" s="46" t="str">
        <f t="shared" si="3"/>
        <v>L2</v>
      </c>
      <c r="E35" s="47">
        <v>9.8717940298507466E-3</v>
      </c>
    </row>
    <row r="36" spans="1:5" x14ac:dyDescent="0.25">
      <c r="A36" s="44">
        <v>45924</v>
      </c>
      <c r="B36" s="42" t="s">
        <v>17</v>
      </c>
      <c r="C36" s="6">
        <v>3</v>
      </c>
      <c r="D36" s="46" t="str">
        <f t="shared" si="3"/>
        <v>L3</v>
      </c>
      <c r="E36" s="47">
        <v>2.692307462686568E-3</v>
      </c>
    </row>
    <row r="37" spans="1:5" x14ac:dyDescent="0.25">
      <c r="A37" s="44">
        <v>45924</v>
      </c>
      <c r="B37" s="42" t="s">
        <v>17</v>
      </c>
      <c r="C37" s="6">
        <v>4</v>
      </c>
      <c r="D37" s="46" t="str">
        <f t="shared" si="3"/>
        <v>L4</v>
      </c>
      <c r="E37" s="47">
        <v>8.9743582089552249E-4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FBD5-5D51-4CED-9AA1-67FFA0EF7910}">
  <dimension ref="A1:E37"/>
  <sheetViews>
    <sheetView tabSelected="1" workbookViewId="0">
      <selection activeCell="F34" sqref="F34"/>
    </sheetView>
  </sheetViews>
  <sheetFormatPr baseColWidth="10" defaultRowHeight="15" x14ac:dyDescent="0.25"/>
  <sheetData>
    <row r="1" spans="1:5" x14ac:dyDescent="0.25">
      <c r="A1" s="43" t="s">
        <v>111</v>
      </c>
      <c r="B1" s="43" t="s">
        <v>108</v>
      </c>
      <c r="C1" s="43" t="s">
        <v>109</v>
      </c>
      <c r="D1" s="45" t="s">
        <v>110</v>
      </c>
      <c r="E1" s="43" t="s">
        <v>104</v>
      </c>
    </row>
    <row r="2" spans="1:5" x14ac:dyDescent="0.25">
      <c r="A2" s="44">
        <v>45834</v>
      </c>
      <c r="B2" s="42" t="s">
        <v>105</v>
      </c>
      <c r="C2" s="6">
        <v>1</v>
      </c>
      <c r="D2" s="46" t="str">
        <f>B2&amp;C2</f>
        <v>MT1</v>
      </c>
      <c r="E2" s="47">
        <v>0</v>
      </c>
    </row>
    <row r="3" spans="1:5" x14ac:dyDescent="0.25">
      <c r="A3" s="44">
        <v>45834</v>
      </c>
      <c r="B3" s="42" t="s">
        <v>105</v>
      </c>
      <c r="C3" s="6">
        <v>2</v>
      </c>
      <c r="D3" s="46" t="str">
        <f t="shared" ref="D3:D10" si="0">B3&amp;C3</f>
        <v>MT2</v>
      </c>
      <c r="E3" s="47">
        <v>0.57762925263157894</v>
      </c>
    </row>
    <row r="4" spans="1:5" x14ac:dyDescent="0.25">
      <c r="A4" s="44">
        <v>45834</v>
      </c>
      <c r="B4" s="42" t="s">
        <v>107</v>
      </c>
      <c r="C4" s="6">
        <v>1</v>
      </c>
      <c r="D4" s="46" t="str">
        <f t="shared" si="0"/>
        <v>MN1</v>
      </c>
      <c r="E4" s="47">
        <v>0</v>
      </c>
    </row>
    <row r="5" spans="1:5" x14ac:dyDescent="0.25">
      <c r="A5" s="44">
        <v>45834</v>
      </c>
      <c r="B5" s="42" t="s">
        <v>107</v>
      </c>
      <c r="C5" s="6">
        <v>2</v>
      </c>
      <c r="D5" s="46" t="str">
        <f t="shared" si="0"/>
        <v>MN2</v>
      </c>
      <c r="E5" s="47">
        <v>0</v>
      </c>
    </row>
    <row r="6" spans="1:5" x14ac:dyDescent="0.25">
      <c r="A6" s="44">
        <v>45834</v>
      </c>
      <c r="B6" s="42" t="s">
        <v>107</v>
      </c>
      <c r="C6" s="6">
        <v>3</v>
      </c>
      <c r="D6" s="46" t="str">
        <f t="shared" si="0"/>
        <v>MN3</v>
      </c>
      <c r="E6" s="47">
        <v>0</v>
      </c>
    </row>
    <row r="7" spans="1:5" x14ac:dyDescent="0.25">
      <c r="A7" s="44">
        <v>45834</v>
      </c>
      <c r="B7" s="42" t="s">
        <v>17</v>
      </c>
      <c r="C7" s="6">
        <v>1</v>
      </c>
      <c r="D7" s="46" t="str">
        <f t="shared" si="0"/>
        <v>L1</v>
      </c>
      <c r="E7" s="47">
        <v>1.0997799894736842</v>
      </c>
    </row>
    <row r="8" spans="1:5" x14ac:dyDescent="0.25">
      <c r="A8" s="44">
        <v>45834</v>
      </c>
      <c r="B8" s="42" t="s">
        <v>17</v>
      </c>
      <c r="C8" s="6">
        <v>2</v>
      </c>
      <c r="D8" s="46" t="str">
        <f t="shared" si="0"/>
        <v>L2</v>
      </c>
      <c r="E8" s="47">
        <v>1.1324144105263159</v>
      </c>
    </row>
    <row r="9" spans="1:5" x14ac:dyDescent="0.25">
      <c r="A9" s="44">
        <v>45834</v>
      </c>
      <c r="B9" s="42" t="s">
        <v>17</v>
      </c>
      <c r="C9" s="6">
        <v>3</v>
      </c>
      <c r="D9" s="46" t="str">
        <f t="shared" si="0"/>
        <v>L3</v>
      </c>
      <c r="E9" s="47">
        <v>0.80607019999999996</v>
      </c>
    </row>
    <row r="10" spans="1:5" x14ac:dyDescent="0.25">
      <c r="A10" s="44">
        <v>45834</v>
      </c>
      <c r="B10" s="42" t="s">
        <v>17</v>
      </c>
      <c r="C10" s="6">
        <v>4</v>
      </c>
      <c r="D10" s="46" t="str">
        <f t="shared" si="0"/>
        <v>L4</v>
      </c>
      <c r="E10" s="6" t="s">
        <v>106</v>
      </c>
    </row>
    <row r="11" spans="1:5" x14ac:dyDescent="0.25">
      <c r="A11" s="44">
        <v>45861</v>
      </c>
      <c r="B11" s="42" t="s">
        <v>105</v>
      </c>
      <c r="C11" s="6">
        <v>1</v>
      </c>
      <c r="D11" s="46" t="str">
        <f>B11&amp;C11</f>
        <v>MT1</v>
      </c>
      <c r="E11" s="47">
        <v>0</v>
      </c>
    </row>
    <row r="12" spans="1:5" x14ac:dyDescent="0.25">
      <c r="A12" s="44">
        <v>45861</v>
      </c>
      <c r="B12" s="42" t="s">
        <v>105</v>
      </c>
      <c r="C12" s="6">
        <v>2</v>
      </c>
      <c r="D12" s="46" t="str">
        <f t="shared" ref="D12:D19" si="1">B12&amp;C12</f>
        <v>MT2</v>
      </c>
      <c r="E12" s="47">
        <v>0.57762925263157894</v>
      </c>
    </row>
    <row r="13" spans="1:5" x14ac:dyDescent="0.25">
      <c r="A13" s="44">
        <v>45861</v>
      </c>
      <c r="B13" s="42" t="s">
        <v>107</v>
      </c>
      <c r="C13" s="6">
        <v>1</v>
      </c>
      <c r="D13" s="46" t="str">
        <f t="shared" si="1"/>
        <v>MN1</v>
      </c>
      <c r="E13" s="47">
        <v>0</v>
      </c>
    </row>
    <row r="14" spans="1:5" x14ac:dyDescent="0.25">
      <c r="A14" s="44">
        <v>45861</v>
      </c>
      <c r="B14" s="42" t="s">
        <v>107</v>
      </c>
      <c r="C14" s="6">
        <v>2</v>
      </c>
      <c r="D14" s="46" t="str">
        <f t="shared" si="1"/>
        <v>MN2</v>
      </c>
      <c r="E14" s="47">
        <v>0</v>
      </c>
    </row>
    <row r="15" spans="1:5" x14ac:dyDescent="0.25">
      <c r="A15" s="44">
        <v>45861</v>
      </c>
      <c r="B15" s="42" t="s">
        <v>107</v>
      </c>
      <c r="C15" s="6">
        <v>3</v>
      </c>
      <c r="D15" s="46" t="str">
        <f t="shared" si="1"/>
        <v>MN3</v>
      </c>
      <c r="E15" s="47">
        <v>0</v>
      </c>
    </row>
    <row r="16" spans="1:5" x14ac:dyDescent="0.25">
      <c r="A16" s="44">
        <v>45861</v>
      </c>
      <c r="B16" s="42" t="s">
        <v>17</v>
      </c>
      <c r="C16" s="6">
        <v>1</v>
      </c>
      <c r="D16" s="46" t="str">
        <f t="shared" si="1"/>
        <v>L1</v>
      </c>
      <c r="E16" s="47">
        <v>1.0997799894736842</v>
      </c>
    </row>
    <row r="17" spans="1:5" x14ac:dyDescent="0.25">
      <c r="A17" s="44">
        <v>45861</v>
      </c>
      <c r="B17" s="42" t="s">
        <v>17</v>
      </c>
      <c r="C17" s="6">
        <v>2</v>
      </c>
      <c r="D17" s="46" t="str">
        <f t="shared" si="1"/>
        <v>L2</v>
      </c>
      <c r="E17" s="47">
        <v>1.1324144105263159</v>
      </c>
    </row>
    <row r="18" spans="1:5" x14ac:dyDescent="0.25">
      <c r="A18" s="44">
        <v>45861</v>
      </c>
      <c r="B18" s="42" t="s">
        <v>17</v>
      </c>
      <c r="C18" s="6">
        <v>3</v>
      </c>
      <c r="D18" s="46" t="str">
        <f t="shared" si="1"/>
        <v>L3</v>
      </c>
      <c r="E18" s="47">
        <v>0.80607019999999996</v>
      </c>
    </row>
    <row r="19" spans="1:5" x14ac:dyDescent="0.25">
      <c r="A19" s="44">
        <v>45861</v>
      </c>
      <c r="B19" s="42" t="s">
        <v>17</v>
      </c>
      <c r="C19" s="6">
        <v>4</v>
      </c>
      <c r="D19" s="46" t="str">
        <f t="shared" si="1"/>
        <v>L4</v>
      </c>
      <c r="E19" s="6" t="s">
        <v>106</v>
      </c>
    </row>
    <row r="20" spans="1:5" x14ac:dyDescent="0.25">
      <c r="A20" s="44">
        <v>45900</v>
      </c>
      <c r="B20" s="42" t="s">
        <v>105</v>
      </c>
      <c r="C20" s="6">
        <v>1</v>
      </c>
      <c r="D20" s="46" t="str">
        <f>B20&amp;C20</f>
        <v>MT1</v>
      </c>
      <c r="E20" s="47">
        <v>0.36876895789473685</v>
      </c>
    </row>
    <row r="21" spans="1:5" x14ac:dyDescent="0.25">
      <c r="A21" s="44">
        <v>45900</v>
      </c>
      <c r="B21" s="42" t="s">
        <v>105</v>
      </c>
      <c r="C21" s="6">
        <v>2</v>
      </c>
      <c r="D21" s="46" t="str">
        <f t="shared" ref="D21:D28" si="2">B21&amp;C21</f>
        <v>MT2</v>
      </c>
      <c r="E21" s="47">
        <v>0.62984432631578957</v>
      </c>
    </row>
    <row r="22" spans="1:5" x14ac:dyDescent="0.25">
      <c r="A22" s="44">
        <v>45900</v>
      </c>
      <c r="B22" s="42" t="s">
        <v>107</v>
      </c>
      <c r="C22" s="6">
        <v>1</v>
      </c>
      <c r="D22" s="46" t="str">
        <f t="shared" si="2"/>
        <v>MN1</v>
      </c>
      <c r="E22" s="47">
        <v>0.17296243157894739</v>
      </c>
    </row>
    <row r="23" spans="1:5" x14ac:dyDescent="0.25">
      <c r="A23" s="44">
        <v>45900</v>
      </c>
      <c r="B23" s="42" t="s">
        <v>107</v>
      </c>
      <c r="C23" s="6">
        <v>2</v>
      </c>
      <c r="D23" s="46" t="str">
        <f t="shared" si="2"/>
        <v>MN2</v>
      </c>
      <c r="E23" s="47">
        <v>0.46667222105263162</v>
      </c>
    </row>
    <row r="24" spans="1:5" x14ac:dyDescent="0.25">
      <c r="A24" s="44">
        <v>45900</v>
      </c>
      <c r="B24" s="42" t="s">
        <v>107</v>
      </c>
      <c r="C24" s="6">
        <v>3</v>
      </c>
      <c r="D24" s="46" t="str">
        <f t="shared" si="2"/>
        <v>MN3</v>
      </c>
      <c r="E24" s="47">
        <v>0.23823127368421054</v>
      </c>
    </row>
    <row r="25" spans="1:5" x14ac:dyDescent="0.25">
      <c r="A25" s="44">
        <v>45900</v>
      </c>
      <c r="B25" s="42" t="s">
        <v>17</v>
      </c>
      <c r="C25" s="6">
        <v>1</v>
      </c>
      <c r="D25" s="46" t="str">
        <f t="shared" si="2"/>
        <v>L1</v>
      </c>
      <c r="E25" s="47">
        <v>0.62984432631578957</v>
      </c>
    </row>
    <row r="26" spans="1:5" x14ac:dyDescent="0.25">
      <c r="A26" s="44">
        <v>45900</v>
      </c>
      <c r="B26" s="42" t="s">
        <v>17</v>
      </c>
      <c r="C26" s="6">
        <v>2</v>
      </c>
      <c r="D26" s="46" t="str">
        <f t="shared" si="2"/>
        <v>L2</v>
      </c>
      <c r="E26" s="47">
        <v>0.59720990526315787</v>
      </c>
    </row>
    <row r="27" spans="1:5" x14ac:dyDescent="0.25">
      <c r="A27" s="44">
        <v>45900</v>
      </c>
      <c r="B27" s="42" t="s">
        <v>17</v>
      </c>
      <c r="C27" s="6">
        <v>3</v>
      </c>
      <c r="D27" s="46" t="str">
        <f t="shared" si="2"/>
        <v>L3</v>
      </c>
      <c r="E27" s="47">
        <v>0.98882295789473695</v>
      </c>
    </row>
    <row r="28" spans="1:5" x14ac:dyDescent="0.25">
      <c r="A28" s="44">
        <v>45900</v>
      </c>
      <c r="B28" s="42" t="s">
        <v>17</v>
      </c>
      <c r="C28" s="6">
        <v>4</v>
      </c>
      <c r="D28" s="46" t="str">
        <f t="shared" si="2"/>
        <v>L4</v>
      </c>
      <c r="E28" s="6" t="s">
        <v>106</v>
      </c>
    </row>
    <row r="29" spans="1:5" x14ac:dyDescent="0.25">
      <c r="A29" s="44">
        <v>45924</v>
      </c>
      <c r="B29" s="42" t="s">
        <v>105</v>
      </c>
      <c r="C29" s="6">
        <v>1</v>
      </c>
      <c r="D29" s="46" t="str">
        <f>B29&amp;C29</f>
        <v>MT1</v>
      </c>
      <c r="E29" s="47">
        <v>0.15990866315789476</v>
      </c>
    </row>
    <row r="30" spans="1:5" x14ac:dyDescent="0.25">
      <c r="A30" s="44">
        <v>45924</v>
      </c>
      <c r="B30" s="42" t="s">
        <v>105</v>
      </c>
      <c r="C30" s="6">
        <v>2</v>
      </c>
      <c r="D30" s="46" t="str">
        <f t="shared" ref="D30:D37" si="3">B30&amp;C30</f>
        <v>MT2</v>
      </c>
      <c r="E30" s="47">
        <v>0.25781192631578942</v>
      </c>
    </row>
    <row r="31" spans="1:5" x14ac:dyDescent="0.25">
      <c r="A31" s="44">
        <v>45924</v>
      </c>
      <c r="B31" s="42" t="s">
        <v>107</v>
      </c>
      <c r="C31" s="6">
        <v>1</v>
      </c>
      <c r="D31" s="46" t="str">
        <f t="shared" si="3"/>
        <v>MN1</v>
      </c>
      <c r="E31" s="47">
        <v>0.19254308421052632</v>
      </c>
    </row>
    <row r="32" spans="1:5" x14ac:dyDescent="0.25">
      <c r="A32" s="44">
        <v>45924</v>
      </c>
      <c r="B32" s="42" t="s">
        <v>107</v>
      </c>
      <c r="C32" s="6">
        <v>2</v>
      </c>
      <c r="D32" s="46" t="str">
        <f t="shared" si="3"/>
        <v>MN2</v>
      </c>
      <c r="E32" s="47">
        <v>0.15990866315789476</v>
      </c>
    </row>
    <row r="33" spans="1:5" x14ac:dyDescent="0.25">
      <c r="A33" s="44">
        <v>45924</v>
      </c>
      <c r="B33" s="42" t="s">
        <v>107</v>
      </c>
      <c r="C33" s="6">
        <v>3</v>
      </c>
      <c r="D33" s="46" t="str">
        <f t="shared" si="3"/>
        <v>MN3</v>
      </c>
      <c r="E33" s="47">
        <v>0.32308076842105266</v>
      </c>
    </row>
    <row r="34" spans="1:5" x14ac:dyDescent="0.25">
      <c r="A34" s="44">
        <v>45924</v>
      </c>
      <c r="B34" s="42" t="s">
        <v>17</v>
      </c>
      <c r="C34" s="6">
        <v>1</v>
      </c>
      <c r="D34" s="46" t="str">
        <f t="shared" si="3"/>
        <v>L1</v>
      </c>
      <c r="E34" s="47">
        <v>0.81259708421052634</v>
      </c>
    </row>
    <row r="35" spans="1:5" x14ac:dyDescent="0.25">
      <c r="A35" s="44">
        <v>45924</v>
      </c>
      <c r="B35" s="42" t="s">
        <v>17</v>
      </c>
      <c r="C35" s="6">
        <v>2</v>
      </c>
      <c r="D35" s="46" t="str">
        <f t="shared" si="3"/>
        <v>L2</v>
      </c>
      <c r="E35" s="47">
        <v>1.138941294736842</v>
      </c>
    </row>
    <row r="36" spans="1:5" x14ac:dyDescent="0.25">
      <c r="A36" s="44">
        <v>45924</v>
      </c>
      <c r="B36" s="42" t="s">
        <v>17</v>
      </c>
      <c r="C36" s="6">
        <v>3</v>
      </c>
      <c r="D36" s="46" t="str">
        <f t="shared" si="3"/>
        <v>L3</v>
      </c>
      <c r="E36" s="47">
        <v>1.4326510842105264</v>
      </c>
    </row>
    <row r="37" spans="1:5" x14ac:dyDescent="0.25">
      <c r="A37" s="44">
        <v>45924</v>
      </c>
      <c r="B37" s="42" t="s">
        <v>17</v>
      </c>
      <c r="C37" s="6">
        <v>4</v>
      </c>
      <c r="D37" s="46" t="str">
        <f t="shared" si="3"/>
        <v>L4</v>
      </c>
      <c r="E37" s="47">
        <v>6.2005400000000002E-2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26.06.2025</vt:lpstr>
      <vt:lpstr>23.07.2025</vt:lpstr>
      <vt:lpstr>31.08.2025</vt:lpstr>
      <vt:lpstr>24.09.2025</vt:lpstr>
      <vt:lpstr>Ammonium</vt:lpstr>
      <vt:lpstr>Phosphat</vt:lpstr>
      <vt:lpstr>Nitrat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Alexandra Kornhaß</cp:lastModifiedBy>
  <dcterms:created xsi:type="dcterms:W3CDTF">2024-08-27T08:21:08Z</dcterms:created>
  <dcterms:modified xsi:type="dcterms:W3CDTF">2026-05-11T15:33:18Z</dcterms:modified>
</cp:coreProperties>
</file>